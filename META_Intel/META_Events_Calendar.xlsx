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h\Documents\META_Intel\"/>
    </mc:Choice>
  </mc:AlternateContent>
  <xr:revisionPtr revIDLastSave="0" documentId="8_{9CE7A882-4DEA-4CCB-80CC-EC95B543BFE2}" xr6:coauthVersionLast="47" xr6:coauthVersionMax="47" xr10:uidLastSave="{00000000-0000-0000-0000-000000000000}"/>
  <bookViews>
    <workbookView xWindow="-98" yWindow="-98" windowWidth="19396" windowHeight="11475" xr2:uid="{332EA8AF-DF13-47DF-A60C-6CFCBACF379A}"/>
  </bookViews>
  <sheets>
    <sheet name="Calendar" sheetId="1" r:id="rId1"/>
    <sheet name="Overview" sheetId="4" r:id="rId2"/>
    <sheet name="Concluded" sheetId="2" r:id="rId3"/>
    <sheet name="Change log" sheetId="3" r:id="rId4"/>
  </sheets>
  <definedNames>
    <definedName name="_xlnm.Print_Titles" localSheetId="0">Calendar!$5:$5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4" i="4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B6" i="4" l="1"/>
  <c r="B5" i="4"/>
</calcChain>
</file>

<file path=xl/sharedStrings.xml><?xml version="1.0" encoding="utf-8"?>
<sst xmlns="http://schemas.openxmlformats.org/spreadsheetml/2006/main" count="609" uniqueCount="453">
  <si>
    <t>META Events &amp; Conferences Calendar</t>
  </si>
  <si>
    <t>Lenovo RHQ Riyadh - Market Intelligence  |  Last updated: 2026-10-27  |  Status colours and summary: see the Overview sheet</t>
  </si>
  <si>
    <t>Risk note: Riyadh event attrition continues: GAIN Summit (to Sep 2027), Cityscape Global (to 1-4 Feb 2027), FII10, UN World Data Forum, Intersec Saudi, Saudi Retail Forum and Security Middle East Conference are all moved; non-tech Riyadh and Qiddiya events (Asian Indoor Games, Extreme H) followed on 26-27 Oct. Houthi attacks near Ras Tanura and on Aramco offices (27 Oct), the US ordered-departure notice and RUH operations shifted to Al Qassim until about 7 Nov remain the backdrop. Counter-signal: MOI/Tahaluf continue with GSTS (1 Nov-20 Dec) and SAIF (24-26 Nov). Black Hat MEA (1-3 Dec) shows no notice but shares organiser and venue with Cityscape. Biban 2026 has no 2026 coverage. Dubai is becoming the main regional stage: GITEX Global (7-11 Dec) lists Huawei and Supermicro but not Lenovo. Live venues outside KSA: Cityscape Qatar (to 29 Oct), ADIPEC (2-5 Nov), Cairo ICT (7-10 Nov), MWC26 Doha (8-10 Nov), World Police Summit and the Abu Dhabi DC events (16-19 Nov).</t>
  </si>
  <si>
    <t>Event</t>
  </si>
  <si>
    <t>Start date</t>
  </si>
  <si>
    <t>End date</t>
  </si>
  <si>
    <t>Days to start</t>
  </si>
  <si>
    <t>Dates (as reported)</t>
  </si>
  <si>
    <t>Status</t>
  </si>
  <si>
    <t>Region</t>
  </si>
  <si>
    <t>Country</t>
  </si>
  <si>
    <t>City / venue</t>
  </si>
  <si>
    <t>Lenovo BU relevance</t>
  </si>
  <si>
    <t>Key accounts / competitors</t>
  </si>
  <si>
    <t>Action</t>
  </si>
  <si>
    <t>Source + verified on</t>
  </si>
  <si>
    <t>Cityscape Qatar 2026</t>
  </si>
  <si>
    <t>27-29 Oct 2026</t>
  </si>
  <si>
    <t>Upcoming - live 27-29 Oct</t>
  </si>
  <si>
    <t>GCC</t>
  </si>
  <si>
    <t>Qatar</t>
  </si>
  <si>
    <t>Doha, DECC</t>
  </si>
  <si>
    <t>SSG (smart buildings), minor</t>
  </si>
  <si>
    <t>Qatar developers; Ooredoo (sponsor); 400+ projects showcased</t>
  </si>
  <si>
    <t>Note only</t>
  </si>
  <si>
    <t>Xinhua 27 Oct 16:14 KSA; Gulf Times 27 Oct; cityscape-events.com/qatar checked 21 Oct</t>
  </si>
  <si>
    <t>Apple 'Pro and tell' event</t>
  </si>
  <si>
    <t>Upcoming</t>
  </si>
  <si>
    <t>Global</t>
  </si>
  <si>
    <t>USA</t>
  </si>
  <si>
    <t>Los Angeles (venue not specified)</t>
  </si>
  <si>
    <t>IDG (premium notebooks)</t>
  </si>
  <si>
    <t>Apple</t>
  </si>
  <si>
    <t>Prepare ThinkPad X1 / Yoga counter-message for a rumoured OLED touchscreen MacBook Pro</t>
  </si>
  <si>
    <t>Reuters via The Daily Guardian 19 Oct; multiple outlets 21-22 Oct 2026; confirmed, multiple outlets 23-24 Oct 2026</t>
  </si>
  <si>
    <t>Microsoft FY27 Q1 earnings</t>
  </si>
  <si>
    <t>28 Oct 2026 after US close; webcast 29 Oct 00:30 KSA</t>
  </si>
  <si>
    <t>Redmond (webcast)</t>
  </si>
  <si>
    <t>ISG/SSG (Azure Local; Azure KSA region)</t>
  </si>
  <si>
    <t>Microsoft</t>
  </si>
  <si>
    <t>Watch Azure capex and KSA region commentary</t>
  </si>
  <si>
    <t>Microsoft IR release 7 Oct 2026</t>
  </si>
  <si>
    <t>SK hynix Q3 2026 earnings call</t>
  </si>
  <si>
    <t>28 Oct 2026, 09:00 KST (03:00 KSA)</t>
  </si>
  <si>
    <t>South Korea</t>
  </si>
  <si>
    <t>Seoul (call)</t>
  </si>
  <si>
    <t>ISG/IDG (memory cost, HBM supply)</t>
  </si>
  <si>
    <t>SK hynix</t>
  </si>
  <si>
    <t>Capture DRAM/HBM pricing and LTA commentary for META pricing guidance</t>
  </si>
  <si>
    <t>SK hynix invitation; Chosun 25 Oct 2026</t>
  </si>
  <si>
    <t>Samsung Electronics Q3 2026 earnings call</t>
  </si>
  <si>
    <t>29 Oct 2026, 10:00 KST (04:00 KSA)</t>
  </si>
  <si>
    <t>Upcoming - watch (date conflict: 29 Oct per Samsung IR vs 30 Oct per aggregator)</t>
  </si>
  <si>
    <t>Seoul (webcast)</t>
  </si>
  <si>
    <t>ISG/IDG (memory)</t>
  </si>
  <si>
    <t>Samsung</t>
  </si>
  <si>
    <t>Capture LTA share, HBM4 and DRAM pricing commentary; preliminary Q3 OP ~KRW 107.4tn</t>
  </si>
  <si>
    <t>samsung.com/global/ir events page, read 26 Oct 2026</t>
  </si>
  <si>
    <t>GSTS Month (Global Security &amp; Technology Summit programme)</t>
  </si>
  <si>
    <t>1-30 Nov 2026, 13 administrative regions</t>
  </si>
  <si>
    <t>Upcoming - watch</t>
  </si>
  <si>
    <t>KSA</t>
  </si>
  <si>
    <t>Saudi Arabia</t>
  </si>
  <si>
    <t>KSA-wide</t>
  </si>
  <si>
    <t>SSG (public safety); IDG (education)</t>
  </si>
  <si>
    <t>MOI, Tuwaiq Academy, MOE, Elm, Tahakom; producer Tahaluf</t>
  </si>
  <si>
    <t>Approach Elm/Tahakom for partner slots (OPP-116)</t>
  </si>
  <si>
    <t>SPA N2709441, 25 Oct 2026 01:13 KSA</t>
  </si>
  <si>
    <t>ADIPEC 2026</t>
  </si>
  <si>
    <t>2-5 Nov 2026</t>
  </si>
  <si>
    <t>UAE</t>
  </si>
  <si>
    <t>Abu Dhabi, ADNEC</t>
  </si>
  <si>
    <t>ISG/SSG (energy digital, edge, HPC)</t>
  </si>
  <si>
    <t>ADNOC, Aramco delegations</t>
  </si>
  <si>
    <t>Energy-AI outreach; use ADIPEC Global Energy Report (81% expect AI power demand to beat forecasts) in Neptune/efficiency messaging</t>
  </si>
  <si>
    <t>adipec.com 20 Oct; The National 22 Oct 2026 10:15 KSA</t>
  </si>
  <si>
    <t>Biban 2026</t>
  </si>
  <si>
    <t>5-8 Nov 2026 (calendar listing only)</t>
  </si>
  <si>
    <t>Dates unconfirmed - at risk, watch</t>
  </si>
  <si>
    <t>Riyadh (venue conflict: Riyadh Front vs Malham)</t>
  </si>
  <si>
    <t>IDG (SME)</t>
  </si>
  <si>
    <t>Monsha'at, SMEs</t>
  </si>
  <si>
    <t>Verify on the Monsha'at site; the 5-8 Nov listing is likely carried over from Biban 2025 (closed about 8-9 Nov 2025)</t>
  </si>
  <si>
    <t>Google News AR/EN: no 2026 coverage, latest items are Biban 2025 (SPA 8 Nov 2025); checked 27 Oct 2026</t>
  </si>
  <si>
    <t>Cairo ICT 2026 (30th)</t>
  </si>
  <si>
    <t>7-10 Nov 2026 (corrected from 8-11 Nov; official site)</t>
  </si>
  <si>
    <t>MEA</t>
  </si>
  <si>
    <t>Egypt</t>
  </si>
  <si>
    <t>New Cairo, Egypt International Exhibition Center</t>
  </si>
  <si>
    <t>IDG/ISG (Egypt public sector, telcos)</t>
  </si>
  <si>
    <t>MCIT Egypt, Telecom Egypt, Vodafone/Orange Egypt; Dell (Title), Huawei (Technology), e-finance (Strategic), MIDAR (Master), Fortinet (Security), CIB and Egypt Trust (Platinum), Noventiq, ICT Misr/IoT Misr, Canon; Cisco exhibiting with CONNECT-PS; no Lenovo</t>
  </si>
  <si>
    <t>Counter Dell's title sponsorship: decide this week on a partner/side-event slot or off-site Egypt executive meetings</t>
  </si>
  <si>
    <t>cairoict.com read 25 Oct 2026; FinTech Gate 25 Oct 10:00 KSA</t>
  </si>
  <si>
    <t>MWC26 Doha</t>
  </si>
  <si>
    <t>8-10 Nov 2026 (showfloor sold out)</t>
  </si>
  <si>
    <t>SSG/ISG (telco, 5G/edge); IDG</t>
  </si>
  <si>
    <t>MCIT Qatar, Ooredoo, Vodafone Qatar, GSMA; Huawei (promoted exhibitor), Nokia, Ericsson; Oliver Wyman (Agentic AI Summit); co-located with ITU PP-26</t>
  </si>
  <si>
    <t>Telco and edge meetings; book Mannai (Cisco sovereign AI partner) and Meeza; note Qatar MotoGP 6-8 Nov overlap and reported rider safety dispute</t>
  </si>
  <si>
    <t>mwcdoha.com read 26 Oct 2026 (structured-data end date 11 Nov still conflicts)</t>
  </si>
  <si>
    <t>ITU Plenipotentiary Conference (PP-26)</t>
  </si>
  <si>
    <t>9-27 Nov 2026</t>
  </si>
  <si>
    <t>Policy context (telecom ministers)</t>
  </si>
  <si>
    <t>CRA Qatar, regional ICT ministers incl. MCIT KSA</t>
  </si>
  <si>
    <t>Watch for ministerial announcements and MoUs on the sidelines</t>
  </si>
  <si>
    <t>QNA 31 Aug 2026</t>
  </si>
  <si>
    <t>Web Summit 2026 (Lisbon)</t>
  </si>
  <si>
    <t>9-12 Nov 2026</t>
  </si>
  <si>
    <t>Portugal</t>
  </si>
  <si>
    <t>Lisbon (venue not stated on page)</t>
  </si>
  <si>
    <t>SSG/IDG (startups, investors)</t>
  </si>
  <si>
    <t>Web Summit Qatar organiser; Gulf SWFs and VCs</t>
  </si>
  <si>
    <t>Watch for Gulf investor and Web Summit Qatar 2027 announcements</t>
  </si>
  <si>
    <t>websummit.com read 27 Oct 2026</t>
  </si>
  <si>
    <t>SC26 (Supercomputing)</t>
  </si>
  <si>
    <t>15-20 Nov 2026 (exhibits 17-19 Nov)</t>
  </si>
  <si>
    <t>Chicago, McCormick Place</t>
  </si>
  <si>
    <t>ISG (HPC, Neptune, TOP500)</t>
  </si>
  <si>
    <t>Dell, HPE, Supermicro, NVIDIA; KAUST and Aramco HPC teams</t>
  </si>
  <si>
    <t>Prepare TOP500/HPC counter-messaging for KSA HPC accounts</t>
  </si>
  <si>
    <t>sc26.supercomputing.org, 19 Oct 2026 (venue corrected 22 Oct)</t>
  </si>
  <si>
    <t>World Police Summit 2026</t>
  </si>
  <si>
    <t>16-18 Nov 2026</t>
  </si>
  <si>
    <t>Dubai World Trade Centre</t>
  </si>
  <si>
    <t>SSG (safe city, public safety); IDG rugged</t>
  </si>
  <si>
    <t>Dubai Police, UAE MOI, GCC police forces; Samsung (Headline), Presight/G42 (Intelligence Partner), airobotics, Dahua, Axon, Convergint, ENBD</t>
  </si>
  <si>
    <t>Counter Samsung headline position; book Dubai Police / MOI meetings (OPP-112)</t>
  </si>
  <si>
    <t>worldpolicesummit.com read 25 Oct 2026 (Arabic header shows 23-25 Jun 2026, conflicts with English FAQ)</t>
  </si>
  <si>
    <t>Africa Tech Festival (incl. AfricaCom)</t>
  </si>
  <si>
    <t>17-19 Nov 2026 (CTICC; official site)</t>
  </si>
  <si>
    <t>South Africa</t>
  </si>
  <si>
    <t>Cape Town, CTICC</t>
  </si>
  <si>
    <t>SSG/ISG (telco); Africa IDG</t>
  </si>
  <si>
    <t>MTN, Vodacom, Safaricom; Huawei</t>
  </si>
  <si>
    <t>Book Africa telco meetings, incl. Vodacom group CTO on sovereign GPUs</t>
  </si>
  <si>
    <t>africatechfestival.com read 24 Oct 2026</t>
  </si>
  <si>
    <t>Data Center World Middle East (1st)</t>
  </si>
  <si>
    <t>17-18 Nov 2026</t>
  </si>
  <si>
    <t>Abu Dhabi, Dusit Thani</t>
  </si>
  <si>
    <t>ISG (data centres)</t>
  </si>
  <si>
    <t>Khazna, Core42, UAE MoEI (Chief AI Officer), NVIDIA, AWS, Oracle; headline sponsor Midea</t>
  </si>
  <si>
    <t>No server OEM sponsor: seek a speaking/partner slot or meetings with Khazna and Core42</t>
  </si>
  <si>
    <t>datacenterworldmiddleeast.com read 24 Oct 2026</t>
  </si>
  <si>
    <t>Microsoft Ignite 2026</t>
  </si>
  <si>
    <t>17-20 Nov 2026</t>
  </si>
  <si>
    <t>San Francisco, Moscone Center</t>
  </si>
  <si>
    <t>ISG/SSG (Azure Local, Copilot+ PCs)</t>
  </si>
  <si>
    <t>Microsoft and partners</t>
  </si>
  <si>
    <t>Partner messaging (Azure Local on ThinkAgile)</t>
  </si>
  <si>
    <t>moscone.com event page; checked 19 Oct 2026</t>
  </si>
  <si>
    <t>Touchdown Middle East 2026</t>
  </si>
  <si>
    <t>18-19 Nov 2026</t>
  </si>
  <si>
    <t>Abu Dhabi, Conrad Etihad Towers</t>
  </si>
  <si>
    <t>Gulf Data Centre Association, KEZAD Group / AD Ports; 400+ companies</t>
  </si>
  <si>
    <t>Pair with Data Center World ME (back-to-back in Abu Dhabi)</t>
  </si>
  <si>
    <t>AD Ports Group release 8 Jul 2026</t>
  </si>
  <si>
    <t>Lenovo Q2 FY26/27 interim results</t>
  </si>
  <si>
    <t>19 Nov 2026 (board meeting)</t>
  </si>
  <si>
    <t>Hong Kong</t>
  </si>
  <si>
    <t>Hong Kong (HKEX 992)</t>
  </si>
  <si>
    <t>All</t>
  </si>
  <si>
    <t>Lenovo</t>
  </si>
  <si>
    <t>Prepare META customer messaging on results and ISG growth</t>
  </si>
  <si>
    <t>HKEX notice 14 Oct 2026 (doc.irasia.com/listco/hk/lenovo/announcement/a261014.pdf)</t>
  </si>
  <si>
    <t>SAIF - Global Security &amp; Innovation Fair</t>
  </si>
  <si>
    <t>24-26 Nov 2026 (was 19-21 Nov); visitor registration open at saifair.sa</t>
  </si>
  <si>
    <t>Upcoming - at risk, watch</t>
  </si>
  <si>
    <t>Riyadh, RICEC</t>
  </si>
  <si>
    <t>SSG (safe city); IDG rugged; ISG edge</t>
  </si>
  <si>
    <t>MOI, Tuwaiq Academy, Elm, Tahakom; Crown Prince patronage; innovators in 14 fields</t>
  </si>
  <si>
    <t>Replacement for postponed Intersec Saudi; evaluate exhibitor/partner slot (OPP-116)</t>
  </si>
  <si>
    <t>SPA N2710864, 26 Oct 2026 19:33 KSA (registration open); SPA N2709441, 25 Oct 2026</t>
  </si>
  <si>
    <t>AWS re:Invent 2026</t>
  </si>
  <si>
    <t>30 Nov-4 Dec 2026</t>
  </si>
  <si>
    <t>Las Vegas</t>
  </si>
  <si>
    <t>ISG (hybrid/edge vs public cloud)</t>
  </si>
  <si>
    <t>AWS; HUMAIN-AWS AI Zone</t>
  </si>
  <si>
    <t>Watch for HUMAIN or KSA region announcements</t>
  </si>
  <si>
    <t>aws.amazon.com/events/reinvent, verified 19 Oct 2026</t>
  </si>
  <si>
    <t>NVIDIA GTC Washington DC 2026</t>
  </si>
  <si>
    <t>30 Nov-3 Dec 2026 (keynote 1 Dec)</t>
  </si>
  <si>
    <t>Washington DC, Ronald Reagan Building</t>
  </si>
  <si>
    <t>ISG (AI factory, sovereign AI)</t>
  </si>
  <si>
    <t>NVIDIA; US policy; HUMAIN/G42 export-licence angle</t>
  </si>
  <si>
    <t>Watch for Gulf sovereign-AI and export-control announcements</t>
  </si>
  <si>
    <t>nvidia.com/en-us/gtc-dc verified 20 Oct 2026</t>
  </si>
  <si>
    <t>Black Hat MEA 2026</t>
  </si>
  <si>
    <t>1-3 Dec 2026</t>
  </si>
  <si>
    <t>Riyadh, RECC Malham</t>
  </si>
  <si>
    <t>SSG/IDG (secure devices, ThinkShield)</t>
  </si>
  <si>
    <t>NCA, SAFCSP, Tahaluf; Cisco, Huawei</t>
  </si>
  <si>
    <t>Daily check: same organiser (Tahaluf) and venue as Cityscape Global, which moved to Feb 2027 on 26 Oct; prepare fallback; ThinkShield messaging</t>
  </si>
  <si>
    <t>No news in 3 days (Google News EN/AR, checked 27 Oct 2026); blackhatmea.com blocks automated reads; Tahaluf signed a 10-year Jeddah yacht-show deal with Sela (SPA 26 Oct)</t>
  </si>
  <si>
    <t>Abu Dhabi Finance Week 2026</t>
  </si>
  <si>
    <t>7-10 Dec 2026 (about half the sessions private)</t>
  </si>
  <si>
    <t>Abu Dhabi, Al Maryah Island (ADGM)</t>
  </si>
  <si>
    <t>SSG (financial services)</t>
  </si>
  <si>
    <t>ADGM, ADQ, Mubadala, BlackRock, banks; 40k+ attendees expected</t>
  </si>
  <si>
    <t>Seek private-room FSI meetings; overlaps GITEX</t>
  </si>
  <si>
    <t>The National 22 Oct 2026 06:20 KSA</t>
  </si>
  <si>
    <t>GITEX Global 2026</t>
  </si>
  <si>
    <t>7-11 Dec 2026 (Summit 7 Dec; Expo 8-11 Dec)</t>
  </si>
  <si>
    <t>Upcoming - moved from October</t>
  </si>
  <si>
    <t>Dubai: Summit at DWTC; Expo at Dubai Exhibition Centre, Expo City</t>
  </si>
  <si>
    <t>IDG/ISG/SSG (all)</t>
  </si>
  <si>
    <t>Huawei (Platinum), Snowflake (Gold); Supermicro + NVIDIA (badge), G42 (lanyard); AMD, Oracle, Cohesity, Splunk, Netris, Trend Micro, Kaspersky (conference); Midis (majlis); NinjaOne, Telnyx (bronze). Lenovo, Dell, HP and HPE not listed</t>
  </si>
  <si>
    <t>Decide Lenovo presence this week (OPP-127); counter Huawei Platinum and Supermicro badge visibility</t>
  </si>
  <si>
    <t>gitex.com sponsor list re-verified 27 Oct 2026</t>
  </si>
  <si>
    <t>GITEX Expand North Star 2026</t>
  </si>
  <si>
    <t>8-10 Dec 2026</t>
  </si>
  <si>
    <t>Expo City Dubai (with GITEX Global)</t>
  </si>
  <si>
    <t>SSG/IDG (startups, VCs)</t>
  </si>
  <si>
    <t>Startups and VCs</t>
  </si>
  <si>
    <t>Startup and VC track; pair with GITEX meetings</t>
  </si>
  <si>
    <t>expandnorthstar.com, verified 19 Oct 2026 (one old news page says 9-13 Nov)</t>
  </si>
  <si>
    <t>GSTS 2026 - Global Security &amp; Technology Summit</t>
  </si>
  <si>
    <t>18-20 Dec 2026</t>
  </si>
  <si>
    <t>Riyadh (venue not stated)</t>
  </si>
  <si>
    <t>SSG/ISG (cyber, AI, smart security)</t>
  </si>
  <si>
    <t>MOI (patron: Crown Prince), Elm (principal), Tahakom (founding), MOE; targets 40,000 visitors, 250 speakers, 100 partners</t>
  </si>
  <si>
    <t>Seek speaking or partner slot via Tahaluf/Elm; prepare safe-city + ThinkShield offer</t>
  </si>
  <si>
    <t>Six Kings Slam (non-tech; Riyadh Season)</t>
  </si>
  <si>
    <t>27-30 Dec 2026 (moved from 21-24 Oct)</t>
  </si>
  <si>
    <t>Postponed</t>
  </si>
  <si>
    <t>Riyadh</t>
  </si>
  <si>
    <t>None (Riyadh event-risk signal)</t>
  </si>
  <si>
    <t>-</t>
  </si>
  <si>
    <t>Context only</t>
  </si>
  <si>
    <t>Al Arabiya 20 Oct; SwiftNews 22 Oct 2026 04:33 KSA</t>
  </si>
  <si>
    <t>CES 2027</t>
  </si>
  <si>
    <t>6-9 Jan 2027 (CES Unveiled 4 Jan)</t>
  </si>
  <si>
    <t>IDG (possible Lenovo Tech World 2027)</t>
  </si>
  <si>
    <t>Dell, HP, Samsung, Chinese OEMs</t>
  </si>
  <si>
    <t>Lenovo Tech World @ CES 2027 at Sphere confirmed (Lenovo StoryHub 7 Oct 2026); align META customer invites</t>
  </si>
  <si>
    <t>ces.tech, verified 18 Oct 2026</t>
  </si>
  <si>
    <t>Abu Dhabi Sustainability Week 2027 (incl. WFES)</t>
  </si>
  <si>
    <t>10-14 Jan 2027</t>
  </si>
  <si>
    <t>ISG/SSG (energy-efficient DC, Neptune)</t>
  </si>
  <si>
    <t>Masdar, ADNOC, TAQA, Mubadala</t>
  </si>
  <si>
    <t>Sustainability and liquid-cooling messaging</t>
  </si>
  <si>
    <t>abudhabisustainabilityweek.com save-the-date checked 20 Oct 2026</t>
  </si>
  <si>
    <t>Future Minerals Forum 2027 (6th)</t>
  </si>
  <si>
    <t>12-14 Jan 2027</t>
  </si>
  <si>
    <t>Riyadh, KAICC (per event listing)</t>
  </si>
  <si>
    <t>ISG/SSG (mining digital, edge, HPC)</t>
  </si>
  <si>
    <t>MIMR, Ma'aden, mining ministers</t>
  </si>
  <si>
    <t>Same venue as postponed FII; watch for postponement; mining-AI outreach</t>
  </si>
  <si>
    <t>MIMR announcement 5 Oct 2026 via Global Mining Review / Mining Weekly; checked 21 Oct</t>
  </si>
  <si>
    <t>Web Summit Qatar 2027</t>
  </si>
  <si>
    <t>31 Jan-3 Feb 2027</t>
  </si>
  <si>
    <t>Qatar ecosystem, QIA</t>
  </si>
  <si>
    <t>Beyond the 90-day horizon; re-verify in January</t>
  </si>
  <si>
    <t>Gulf Times / QNA, Jul 2026; not re-verified 19 Oct 2026</t>
  </si>
  <si>
    <t>Cityscape Global 2026</t>
  </si>
  <si>
    <t>1-4 Feb 2027 (moved from 16-19 Nov 2026; 2027 edition unchanged 15-18 Nov 2027)</t>
  </si>
  <si>
    <t>Postponed - moved to Feb 2027</t>
  </si>
  <si>
    <t>IDG/SSG (smart buildings, giga-projects)</t>
  </si>
  <si>
    <t>ROSHN, NHC, giga-project developers; speakers: Ministers Al-Hogail and Al-Saif, NHC CEO, Diriyah, New Murabba, PIF real estate, Aramco Digital board member</t>
  </si>
  <si>
    <t>Convert mid-Nov giga-project meetings (ROSHN, NHC, Diriyah) into direct account visits; re-plan for Feb 2027; leading indicator for Black Hat MEA (same organiser and venue)</t>
  </si>
  <si>
    <t>Sabq 26 Oct 2026 19:15 KSA (https://sabq.org/article/dli2joy); cityscapeglobal.com notice (undated) read 26 Oct 2026</t>
  </si>
  <si>
    <t>6th Asian Indoor &amp; Martial Arts Games (non-tech)</t>
  </si>
  <si>
    <t>Was Nov 2026; rescheduled to start 28 Mar 2027 (end date not verified)</t>
  </si>
  <si>
    <t>Arab News 26 Oct 17:14 KSA; SPA 27 Oct 04:56 KSA</t>
  </si>
  <si>
    <t>LEAP 2027</t>
  </si>
  <si>
    <t>12-15 Apr 2027 (with DeepFest)</t>
  </si>
  <si>
    <t>IDG/ISG/SSG</t>
  </si>
  <si>
    <t>Tahaluf, MCIT, HUMAIN, hyperscalers</t>
  </si>
  <si>
    <t>Plan booth; watch Riyadh security</t>
  </si>
  <si>
    <t>onegiantleap.com read 22 Oct 2026 (Browser)</t>
  </si>
  <si>
    <t>Global Health Exhibition</t>
  </si>
  <si>
    <t>Was 26-29 Oct 2026; now 25-28 Oct 2027 (2026 Digital Forum online, dates TBA)</t>
  </si>
  <si>
    <t>Riyadh (venue not stated on new page)</t>
  </si>
  <si>
    <t>IDG/SSG (healthcare devices, hybrid cloud)</t>
  </si>
  <si>
    <t>MOH, health clusters</t>
  </si>
  <si>
    <t>Re-plan health-vertical outreach without the show; confirm via MOH/SPA</t>
  </si>
  <si>
    <t>globalhealthsaudi.com, verified 19 Oct 2026 (notice undated)</t>
  </si>
  <si>
    <t>Saudi Build 2026 + Saudi Elenex 2026</t>
  </si>
  <si>
    <t>Was 2-5 Nov 2026, now 1-4 Nov 2027 (19 Oct cached page says only 'next year')</t>
  </si>
  <si>
    <t>Riyadh (Riyadh Exhibitions Co.)</t>
  </si>
  <si>
    <t>Construction and energy contractors</t>
  </si>
  <si>
    <t>Note only; leading indicator for other Riyadh trade shows</t>
  </si>
  <si>
    <t>TradeArabia 18 Oct 2026; IndexBox 18 Oct; checked 19 Oct 2026</t>
  </si>
  <si>
    <t>2nd EU-GCC Summit</t>
  </si>
  <si>
    <t>Was 24 Oct 2026, now TBD</t>
  </si>
  <si>
    <t>Policy context</t>
  </si>
  <si>
    <t>GCC, EU</t>
  </si>
  <si>
    <t>Context</t>
  </si>
  <si>
    <t>The National / Saudi Gazette / Reuters, 15 Oct 2026; checked 18 Oct 2026</t>
  </si>
  <si>
    <t>6th UN World Data Forum + 2nd Saudi Statistics Forum</t>
  </si>
  <si>
    <t>Was Nov 2026 (one listing: 9-12 Nov); postponed to 2027, dates TBA</t>
  </si>
  <si>
    <t>ISG/SSG (public-sector data, AI)</t>
  </si>
  <si>
    <t>GASTAT, SDAIA, UN Statistics Division</t>
  </si>
  <si>
    <t>Engage GASTAT/SDAIA one-to-one instead</t>
  </si>
  <si>
    <t>RFE/RL 23 Oct 07:17 KSA; Reuters 23 Oct; Arab News 23 Oct 11:19 KSA</t>
  </si>
  <si>
    <t>FIA Extreme H World Cup (non-tech)</t>
  </si>
  <si>
    <t>Was late Oct/Nov 2026; postponed to 2027, dates TBA</t>
  </si>
  <si>
    <t>Qiddiya City</t>
  </si>
  <si>
    <t>None (event-risk signal)</t>
  </si>
  <si>
    <t>FIA 26 Oct 23:49 KSA; What's On Saudi Arabia 27 Oct</t>
  </si>
  <si>
    <t>FII10 - Future Investment Initiative</t>
  </si>
  <si>
    <t>Was 26-29 Oct 2026; postponed to 2027, dates TBA</t>
  </si>
  <si>
    <t>Riyadh, King Abdulaziz International Conference Center (KAICC)</t>
  </si>
  <si>
    <t>ISG/SSG (sovereign AI, AI infrastructure); IDG</t>
  </si>
  <si>
    <t>PIF (Founding Partner), Aramco, HUMAIN, stc Group, NEOM, SoftBank Vision Fund, Brookfield; no hardware OEM listed</t>
  </si>
  <si>
    <t>Cancel or convert FII side meetings; re-engage PIF, HUMAIN, stc and Aramco one-to-one in Riyadh or at DCD&gt;Connect MENA / GITEX Global</t>
  </si>
  <si>
    <t>fii-institute.org read 24 Oct 2026 (moving to 2027, no dates); Bloomberg 24 Oct confirms postponement</t>
  </si>
  <si>
    <t>GAIN Summit (4th Global AI Summit)</t>
  </si>
  <si>
    <t>Was 15-17 Sep 2026; rescheduled to Sep 2027 (days TBA)</t>
  </si>
  <si>
    <t>Riyadh, KAICC</t>
  </si>
  <si>
    <t>ISG/SSG (sovereign AI)</t>
  </si>
  <si>
    <t>SDAIA, HUMAIN</t>
  </si>
  <si>
    <t>Engage SDAIA one-to-one; verify 2027 dates</t>
  </si>
  <si>
    <t>Arab News 1 Sep 2026 ('SDAIA reschedules fourth Global AI Summit to September 2027'); checked 27 Oct 2026</t>
  </si>
  <si>
    <t>IDEAS 2026 (defence exhibition)</t>
  </si>
  <si>
    <t>Was 24-27 Nov 2026; cancelled for 2026, next edition 2028</t>
  </si>
  <si>
    <t>Postponed (cancelled for 2026)</t>
  </si>
  <si>
    <t>Pakistan</t>
  </si>
  <si>
    <t>Karachi Expo Centre</t>
  </si>
  <si>
    <t>SSG (defence-tech), minor</t>
  </si>
  <si>
    <t>DEPO, MoD Production Pakistan</t>
  </si>
  <si>
    <t>Note only; regional event-risk signal</t>
  </si>
  <si>
    <t>ideaspakistan.gov.pk read 24 Oct 2026 (notice undated)</t>
  </si>
  <si>
    <t>Intersec Saudi Arabia 2026</t>
  </si>
  <si>
    <t>Was 16-18 Nov 2026; now Oct 2027 (day TBA)</t>
  </si>
  <si>
    <t>SSG (safe city, public safety)</t>
  </si>
  <si>
    <t>Messe Frankfurt Saudi Arabia; MOI, civil defence</t>
  </si>
  <si>
    <t>Re-route safe-city pipeline to Milipol Qatar and Black Hat MEA</t>
  </si>
  <si>
    <t>Zawya (Messe Frankfurt release) 19 Oct 2026 15:20 KSA; The National 19 Oct</t>
  </si>
  <si>
    <t>Misk Global Forum 2026</t>
  </si>
  <si>
    <t>Was 11-12 Nov 2026; cancelled for 2026</t>
  </si>
  <si>
    <t>None (risk signal)</t>
  </si>
  <si>
    <t>Arab News PK; Roya News, about 11-13 Oct 2026</t>
  </si>
  <si>
    <t>Saudi Retail Forum 2026</t>
  </si>
  <si>
    <t>Was 19 Nov 2026; now Mar 2027</t>
  </si>
  <si>
    <t>IDG/SSG (retail edge), minor</t>
  </si>
  <si>
    <t>KSA retailers</t>
  </si>
  <si>
    <t>The National 19 Oct 2026 19:41 KSA</t>
  </si>
  <si>
    <t>Security Middle East Conference 2026</t>
  </si>
  <si>
    <t>Was 28 Apr, then 29 Nov 2026; now 31 May 2027 (single source)</t>
  </si>
  <si>
    <t>Riyadh, voco Riyadh</t>
  </si>
  <si>
    <t>SSG (security), minor</t>
  </si>
  <si>
    <t>Security professionals</t>
  </si>
  <si>
    <t>Note only; Riyadh risk signal</t>
  </si>
  <si>
    <t>Northstar Meetings Group (organiser statement); publish date unverified</t>
  </si>
  <si>
    <t>Concluded events (last 60 days)</t>
  </si>
  <si>
    <t>Dates</t>
  </si>
  <si>
    <t>Outcome</t>
  </si>
  <si>
    <t>World Investment Forum 2026 (9th, UNCTAD)</t>
  </si>
  <si>
    <t>25-27 Oct 2026 (live)</t>
  </si>
  <si>
    <t>Doha (venue not stated on UNCTAD page)</t>
  </si>
  <si>
    <t>UNCTAD reported new business projects declining despite rising FDI (27 Oct); Syria sought Qatari digital-infrastructure partners (secondary source). No GCC tech deals found.</t>
  </si>
  <si>
    <t>unctad.org WIF opening release, 25 Oct 2026 01:00 KSA</t>
  </si>
  <si>
    <t>Dubai AI Festival 2026</t>
  </si>
  <si>
    <t>26-27 Oct 2026 (live; earlier releases had said 7-8 Apr 2026)</t>
  </si>
  <si>
    <t>Sheikh Hamdan set 2030 targets of 1,000+ AI firms and 5,000+ jobs; 500+ firms and Dh1bn+ reported achieved; new DIFC Zabeel District HQ reviewed. G42 CEO pitched the UAE as an exporter of intelligence. Scale AI UAE entity launched. HP the only PC OEM partner; no Lenovo presence; no hardware OEM deals.</t>
  </si>
  <si>
    <t>dubaiaifestival.com read 26 Oct 2026; The National 26 Oct 2026 18:37 KSA</t>
  </si>
  <si>
    <t>DCD&gt;Connect MENA (+ DCD Investment Forum MENA 27 Oct)</t>
  </si>
  <si>
    <t>26-27 Oct 2026 (live; Investment Forum 27 Oct)</t>
  </si>
  <si>
    <t>Dubai, Grand Hyatt</t>
  </si>
  <si>
    <t>Vendor releases only (Vertiv 360AI and SmartIT, Al Masaood Power). No Khazna, DataVolt, G42 or HUMAIN build announcements through 27 Oct 16:34 KSA.</t>
  </si>
  <si>
    <t>datacenterdynamics.com event page 24 Oct 2026; Zawya Vertiv release 26 Oct 09:30 KSA</t>
  </si>
  <si>
    <t>Milipol Qatar 2026 (16th)</t>
  </si>
  <si>
    <t>20-22 Oct 2026</t>
  </si>
  <si>
    <t>270+ exhibitors from 30+ countries; Qatar MOI-France 2027-30 action plan; Huawei showcase; Milipol Qatar 2028 announced; deal tally not published by 12:18 KSA 22 Oct; co-located Doha International Conference on AI &amp; Security; Vodafone Qatar AI showcase; Huawei Gulf North AI-security pitch (Gulf Times 25 Oct)</t>
  </si>
  <si>
    <t>The Peninsula 22 Oct 12:09 KSA; Qatar Tribune 21 Oct; Xinhua 22 Oct</t>
  </si>
  <si>
    <t>WETEX 2026 + 12th World Green Economy Summit</t>
  </si>
  <si>
    <t>DEWA/Moro Hub agreements with Huawei (ICT, servers, DC, cyber), Nozomi Networks and Syskey; DEWA International 4 MoUs (EDF, China Energy International, Capital Dynamics, TCS)</t>
  </si>
  <si>
    <t>WAM 21 Oct (c2us57j); WAM 20 Oct; Dubai Media Office 21 Oct</t>
  </si>
  <si>
    <t>NVIDIA GTC Berlin 2026</t>
  </si>
  <si>
    <t>Berlin</t>
  </si>
  <si>
    <t>DSX POD launched (Lenovo a named partner); HUMAIN-DataVolt-Nebius 50 MW Oxagon framework signed on the sidelines; Aleria UAE GPU releases; Dell AI Factory line-up</t>
  </si>
  <si>
    <t>nvidianews.nvidia.com; NEOM newsroom; EIN Presswire; StorageReview, 21-22 Oct 2026</t>
  </si>
  <si>
    <t>Ai Everything Abu Dhabi</t>
  </si>
  <si>
    <t>6-7 Oct 2026</t>
  </si>
  <si>
    <t>Abu Dhabi, ADNEC Centre</t>
  </si>
  <si>
    <t>Dell-Tahaluf smart-city MoU signed there (OPP-079); Dell, HPE, Microsoft and G42 billed</t>
  </si>
  <si>
    <t>Gulf News, 24 Sep 2026; checked 18 Oct 2026</t>
  </si>
  <si>
    <t>World Petroleum Congress (Riyadh)</t>
  </si>
  <si>
    <t>Went ahead; reportedly no executives from Shell, TotalEnergies, BP or ExxonMobil</t>
  </si>
  <si>
    <t>houseofsaud.com 18 Oct 2026 (uncited); Reuters via The Standard 14 Oct</t>
  </si>
  <si>
    <t>OCP Global Summit 2026</t>
  </si>
  <si>
    <t>12-15 Oct 2026</t>
  </si>
  <si>
    <t>San Jose Convention Center</t>
  </si>
  <si>
    <t>Sold out; moves to Moscone, San Francisco from 2027; announcements not retrieved</t>
  </si>
  <si>
    <t>opencompute.org; checked 18 Oct 2026</t>
  </si>
  <si>
    <t>IMF/World Bank Annual Meetings 2026</t>
  </si>
  <si>
    <t>Oct 2026 (exact dates not verified)</t>
  </si>
  <si>
    <t>Bangkok</t>
  </si>
  <si>
    <t>UAE signed to host the 2029 Annual Meetings in Abu Dhabi</t>
  </si>
  <si>
    <t>Zawya / Nation Thailand, 18 Oct 2026</t>
  </si>
  <si>
    <t>30th GCC Ministerial Committee for Post and Telecommunications</t>
  </si>
  <si>
    <t>Bahrain</t>
  </si>
  <si>
    <t>MCIT's Alswaha offered sites and 14 GW of DC power to the GCC and proposed a GCC digital interconnection; bilaterals with Bahrain, Kuwait and Qatar</t>
  </si>
  <si>
    <t>SPA N2704500 and N2704449, 18 Oct 2026</t>
  </si>
  <si>
    <t>6G MENA Summit (6G Summit in the AI Era)</t>
  </si>
  <si>
    <t>19-20 Oct 2026</t>
  </si>
  <si>
    <t>Abu Dhabi, Conrad Etihad Towers (per 6g-mena.com)</t>
  </si>
  <si>
    <t>TDRA (Dr Khalid Al Awadhi) set out the UAE 6G roadmap and standards role, expecting commercial 6G from 2030. No vendor deals reported from e&amp;, du or Huawei.</t>
  </si>
  <si>
    <t>WAM 19 Oct 2026 18:47/18:52 KSA</t>
  </si>
  <si>
    <t>UAE-France Business Dialogue</t>
  </si>
  <si>
    <t>Abu Dhabi, Qasr Al Watan</t>
  </si>
  <si>
    <t>MBZUAI, G42 and Analog signed MoUs with AMI Labs; ADNOC Gas-Schneider Electric MoU; two ADNOC Refining-Technip Energies contracts. No values; hardware undisclosed.</t>
  </si>
  <si>
    <t>Abu Dhabi Media Office 20 Oct 2026 09:01 KSA</t>
  </si>
  <si>
    <t>Riyadh Season 2026 opening</t>
  </si>
  <si>
    <t>Opened 21 Oct 2026</t>
  </si>
  <si>
    <t>Opened 21 Oct; entertainment programme continues while business conferences in Riyadh are postponed.</t>
  </si>
  <si>
    <t>Asharq Al-Awsat 20 Oct 13:42 KSA; Al-Masry Al-Youm 20 Oct; SPA N2686677</t>
  </si>
  <si>
    <t>Saudi Maritime &amp; Logistics Congress 2026</t>
  </si>
  <si>
    <t>21-22 Oct 2026</t>
  </si>
  <si>
    <t>Jeddah Superdome</t>
  </si>
  <si>
    <t>Went ahead in Jeddah (Informa); deal tally not retrieved</t>
  </si>
  <si>
    <t>Seatrade Maritime Oct 2026</t>
  </si>
  <si>
    <t>ITCN Asia 2026</t>
  </si>
  <si>
    <t>22-24 Sep 2026</t>
  </si>
  <si>
    <t>800+ booths, SIFC collaboration; Cisco and Comtech Associates showcase</t>
  </si>
  <si>
    <t>Radio Pakistan 20 Sep 2026; Bloom Pakistan 24 Oct 2026</t>
  </si>
  <si>
    <t>Change log</t>
  </si>
  <si>
    <t>Date</t>
  </si>
  <si>
    <t>Change</t>
  </si>
  <si>
    <t>Calendar created from agent H's first sweep. FII10 and GITEX dates spot-checked on official sites. Recorded postponements: Saudi Build/Elenex (to Nov 2027), EU-GCC Summit (TBD), Six Kings Slam (to 27-30 Dec), ARTDOM Riyadh (to 2027).</t>
  </si>
  <si>
    <t>Moved to Excel: events_calendar.json is now the source of truth and META_Events_Calendar.xlsx is rebuilt from it by build-events-calendar.ps1.</t>
  </si>
  <si>
    <t>Global Health Exhibition moved 26-29 Oct 2026 to 25-28 Oct 2027 (globalhealthsaudi.com, notice undated). FII10 risk raised (WSJ 19 Oct; Etihad suspension to 24 Oct). Added Milipol Qatar, ADIPEC, Cairo ICT, Misk Global Forum (cancelled) and Riyadh Season opening (watch). Verified Expand North Star (8-10 Dec), ADFW (7-10 Dec) and Ignite (17-20 Nov). Replaced the DCD Connect Riyadh placeholder with DCD&gt;Connect MENA (tentative). Moved Datacloud ME 2026 to concluded; logged the 18 Oct GCC telecom ministerial and the 11 Oct World Petroleum Congress as concluded.</t>
  </si>
  <si>
    <t>FII10 postponed to 2027 (dates TBA). Intersec Saudi Arabia (to Oct 2027) and Saudi Retail Forum (to Mar 2027) added as Postponed. Cairo ICT corrected to 7-10 Nov (official site). Riyadh Season opening 21 Oct confirmed. Cityscape, Black Hat MEA and ADIPEC re-verified on official sites. Added Apple Pro and tell (28 Oct), NVIDIA GTC DC (30 Nov-3 Dec) and ADSW 2027 (10-14 Jan). 6G MENA Summit and UAE-France Business Dialogue moved to concluded; Datacloud ME (Feb 2026) pruned.</t>
  </si>
  <si>
    <t>FII10 re-checked: still 2027, no dates. Added WETEX 2026 (20-22 Oct, live), Cityscape Qatar (27-29 Oct), Future Minerals Forum 2027 (12-14 Jan, KAICC), LEAP 2027 (dates unconfirmed) and Lenovo interim results (19 Nov, HKEX notice). Milipol Qatar updated (MOI-France 2027-30 action plan; Huawei showcase). Apple event city set to Los Angeles. GITEX re-verified (no Lenovo on sponsor page). Cityscape Global and Black Hat MEA set to at risk, watch (official sites 403; continuing strikes on Riyadh). DCD&gt;Connect MENA still unconfirmed on the official site.</t>
  </si>
  <si>
    <t>DCD&gt;Connect MENA confirmed 26-27 Oct, Grand Hyatt Dubai (official DCD page; Investment Forum 27 Oct). LEAP 2027 confirmed 12-15 Apr 2027 (onegiantleap.com). SC26 venue corrected to Chicago, McCormick Place. Cityscape Global and Black Hat MEA official sites live with no notice but kept at risk, watch (Skift corporate-travel freeze; US ordered departure of diplomats; Dammam airport strike). ADIPEC and ADFW re-confirmed (The National 22 Oct). Milipol Qatar, WETEX and GTC Berlin moved to concluded; Huawei-DEWA/Moro Hub ICT agreement logged. Biban still unconfirmed.</t>
  </si>
  <si>
    <t>Added MWC26 Doha (8-10 Nov), ITU PP-26 (9-27 Nov), World Police Summit (16-18 Nov), Data Center World ME (17-18 Nov), Touchdown ME (18-19 Nov); added UN World Data Forum + Saudi Statistics Forum (postponed to 2027) and IDEAS 2026 Karachi (cancelled, next 2028). Cairo ICT: Dell Title Sponsor, Huawei Technology Partner, no Lenovo. DCD&gt;Connect MENA speakers updated (no server OEM). Cityscape Global speaker list updated; Cityscape and Black Hat MEA still at risk with no notice. Africa Tech Festival dates fixed to 17-19 Nov. Riyadh Season opening moved to concluded. Biban still unconfirmed.</t>
  </si>
  <si>
    <t>Added WIF 2026 Doha (live 25-27 Oct); GSTS Month (1-30 Nov), SAIF (24-26 Nov, moved from 19-21 Nov, RICEC) and GSTS Summit (18-20 Dec), all MOI/Tahaluf; SK hynix and Microsoft earnings (28 Oct); Samsung (29 Oct, unconfirmed); Security Middle East Conference postponed to 31 May 2027. Updated Cairo ICT sponsors (Fortinet; Cisco via CONNECT-PS), World Police Summit sponsors (Samsung headline, Presight), MWC26 Doha (co-located with ITU PP-26), GITEX bronze sponsors. Concluded: Saudi Maritime &amp; Logistics Congress, ITCN Asia. Cityscape Global and Black Hat MEA sites 403, no notice found.</t>
  </si>
  <si>
    <t>Cityscape Global 2026 moved from 16-19 Nov 2026 to 1-4 Feb 2027 (Sabq 26 Oct 19:15 KSA; organiser notice undated); 2027 edition unchanged 15-18 Nov 2027. SAIF 24-26 Nov at RICEC confirmed, registration open (SPA N2710864). Black Hat MEA still 1-3 Dec with no notice, risk raised (same organiser and venue as Cityscape). Samsung Q3 call confirmed 29 Oct 10:00 KST. Added Dubai AI Festival (26-27 Oct, DWTC, live). MWC26 Doha sold out. DCD&gt;Connect MENA and WIF live. ADIPEC and FII10 re-checked, no change; Biban still unconfirmed.</t>
  </si>
  <si>
    <t>Moved WIF, Dubai AI Festival and DCD&gt;Connect MENA to concluded. GAIN Summit corrected: rescheduled to Sep 2027 (Arab News 1 Sep), concluded entry replaced with a Postponed row. Added Web Summit Lisbon (9-12 Nov), Asian Indoor &amp; Martial Arts Games (Riyadh, to 28 Mar 2027) and FIA Extreme H Qiddiya (to 2027). GITEX sponsor list updated (Huawei Platinum, Supermicro/NVIDIA badge; no Lenovo, Dell, HP, HPE). Cityscape Qatar live. Biban 2026 still unconfirmed, likely stale listing. Samsung Q3 date conflict noted.</t>
  </si>
  <si>
    <t>Overview</t>
  </si>
  <si>
    <t>Summary</t>
  </si>
  <si>
    <t>Count</t>
  </si>
  <si>
    <t>Events tracked</t>
  </si>
  <si>
    <t>Starting in the next 7 days</t>
  </si>
  <si>
    <t>Starting in the next 30 days</t>
  </si>
  <si>
    <t>At risk or on watch</t>
  </si>
  <si>
    <t>Dates unconfirmed</t>
  </si>
  <si>
    <t>KSA events</t>
  </si>
  <si>
    <t>GCC events</t>
  </si>
  <si>
    <t>MEA events</t>
  </si>
  <si>
    <t>Global events</t>
  </si>
  <si>
    <t>Status colours</t>
  </si>
  <si>
    <t>Confirmed on the official site or reputable press; no known risk</t>
  </si>
  <si>
    <t>At risk / watch</t>
  </si>
  <si>
    <t>Still scheduled, but security, venue or attendance risk; check daily</t>
  </si>
  <si>
    <t>Moved or cancelled; new dates shown where announced</t>
  </si>
  <si>
    <t>No official confirmation yet; verify before planning</t>
  </si>
  <si>
    <t>Days to start, 0-7</t>
  </si>
  <si>
    <t>Event starts within a week (countdown highlighted on the Calendar sheet)</t>
  </si>
  <si>
    <t>How this file is maintained</t>
  </si>
  <si>
    <t>Updated by the daily META Intel run (07:00 KSA) from the events and conferences agent (meta-events-intel).</t>
  </si>
  <si>
    <t>Source of truth: events_calendar.json in the same folder. This workbook is rebuilt from it by build-events-calendar.ps1, so edits made only in Excel are overwritten on the next run.</t>
  </si>
  <si>
    <t>Every date carries its source and the date it was verified. 'Days to start' recalculates from today's date each time the file is opened.</t>
  </si>
  <si>
    <t>Last updated: 2026-10-27.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</si>
</sst>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0"/>
      <color theme="1"/>
      <name val="Arial"/>
      <family val="2"/>
    </font>
    <font>
      <b/>
      <sz val="16"/>
      <color rgb="FF1F3864"/>
      <name val="Arial"/>
      <family val="2"/>
    </font>
    <font>
      <sz val="10"/>
      <color rgb="FF595959"/>
      <name val="Arial"/>
      <family val="2"/>
    </font>
    <font>
      <i/>
      <sz val="10"/>
      <color rgb="FF9C0006"/>
      <name val="Arial"/>
      <family val="2"/>
    </font>
    <font>
      <b/>
      <sz val="10"/>
      <color theme="1"/>
      <name val="Arial"/>
      <family val="2"/>
    </font>
    <font>
      <b/>
      <sz val="10"/>
      <color rgb="FF9C570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5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2" borderId="0" xfId="0" applyFont="1" applyFill="1"/>
    <xf numFmtId="0" fontId="6" fillId="3" borderId="0" xfId="0" applyFont="1" applyFill="1"/>
    <xf numFmtId="0" fontId="8" fillId="0" borderId="0" xfId="0" applyFont="1"/>
    <xf numFmtId="164" fontId="0" fillId="0" borderId="0" xfId="0" applyNumberFormat="1" applyAlignment="1">
      <alignment horizontal="left" vertical="top"/>
    </xf>
    <xf numFmtId="0" fontId="4" fillId="0" borderId="0" xfId="0" applyFont="1"/>
    <xf numFmtId="0" fontId="9" fillId="5" borderId="0" xfId="0" applyFont="1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4" borderId="0" xfId="0" applyFont="1" applyFill="1"/>
    <xf numFmtId="0" fontId="10" fillId="6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 customBuiltin="1"/>
  </cellStyles>
  <dxfs count="29"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\-mmm\-yyyy"/>
      <alignment horizontal="left" vertical="top" textRotation="0" wrapText="0" indent="0" justifyLastLine="0" shrinkToFit="0" readingOrder="0"/>
    </dxf>
    <dxf>
      <font>
        <b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404040"/>
      </font>
      <fill>
        <patternFill>
          <bgColor rgb="FFD9D9D9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alignment vertical="center" textRotation="0" wrapText="1" indent="0" justifyLastLine="0" shrinkToFit="0" readingOrder="0"/>
    </dxf>
    <dxf>
      <font>
        <b/>
      </font>
      <alignment horizontal="general" vertical="top" textRotation="0" wrapText="1" indent="0" justifyLastLine="0" shrinkToFit="0" readingOrder="0"/>
    </dxf>
    <dxf>
      <numFmt numFmtId="164" formatCode="dd\-mmm\-yyyy"/>
      <alignment horizontal="center" vertical="top" textRotation="0" wrapText="1" indent="0" justifyLastLine="0" shrinkToFit="0" readingOrder="0"/>
    </dxf>
    <dxf>
      <numFmt numFmtId="1" formatCode="0"/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\-mmm\-yyyy"/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90D31-556B-48CC-8116-EFD4BAF73005}" name="EventsCalendar" displayName="EventsCalendar" ref="A5:M52" totalsRowShown="0" headerRowDxfId="14" dataDxfId="20">
  <autoFilter ref="A5:M52" xr:uid="{BCD90D31-556B-48CC-8116-EFD4BAF73005}"/>
  <tableColumns count="13">
    <tableColumn id="1" xr3:uid="{42C3D3D4-F620-4AF3-B84C-A9B2D886BAB4}" name="Event" dataDxfId="15"/>
    <tableColumn id="2" xr3:uid="{5E70CAED-521A-4AD7-889D-392105B552D8}" name="Start date" dataDxfId="16"/>
    <tableColumn id="3" xr3:uid="{C0FC1F16-40DD-47E4-8936-22963D5F7071}" name="End date" dataDxfId="19"/>
    <tableColumn id="4" xr3:uid="{79F7F4D4-5046-4D44-977F-DB838843018E}" name="Days to start" dataDxfId="17">
      <calculatedColumnFormula>IF(B6="","",B6-TODAY())</calculatedColumnFormula>
    </tableColumn>
    <tableColumn id="5" xr3:uid="{22B7E449-C6CD-44E3-99B6-3F1D033A89C2}" name="Dates (as reported)" dataDxfId="18"/>
    <tableColumn id="6" xr3:uid="{B18184DA-FE9E-429F-9ACB-EF852A6922ED}" name="Status" dataDxfId="28"/>
    <tableColumn id="7" xr3:uid="{E8365F30-0828-4FF3-98DD-296A7FCA77AB}" name="Region" dataDxfId="27"/>
    <tableColumn id="8" xr3:uid="{164E92A0-470A-4BC9-B592-0F313C61D68B}" name="Country" dataDxfId="26"/>
    <tableColumn id="9" xr3:uid="{024F8A9F-41DA-4A7A-BAFB-F5E28BCCB98F}" name="City / venue" dataDxfId="25"/>
    <tableColumn id="10" xr3:uid="{F59595B2-7BCB-426F-8E47-A44FA2A890E5}" name="Lenovo BU relevance" dataDxfId="24"/>
    <tableColumn id="11" xr3:uid="{B7A8122C-B0BA-4FD4-A2B4-12FBB1FB3A7C}" name="Key accounts / competitors" dataDxfId="23"/>
    <tableColumn id="12" xr3:uid="{20E1229B-0A2A-4452-99FF-6CF167246657}" name="Action" dataDxfId="22"/>
    <tableColumn id="13" xr3:uid="{27B697A0-B3AF-4DBC-AD79-620AB2AB09BA}" name="Source + verified on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C14E6-9501-4449-8DF7-12A1E20F7BA7}" name="ConcludedEvents" displayName="ConcludedEvents" ref="A3:E19" totalsRowShown="0" dataDxfId="5">
  <autoFilter ref="A3:E19" xr:uid="{845C14E6-9501-4449-8DF7-12A1E20F7BA7}"/>
  <tableColumns count="5">
    <tableColumn id="1" xr3:uid="{E3705784-C1F7-4623-B70E-42CFDA732EE1}" name="Event" dataDxfId="3"/>
    <tableColumn id="2" xr3:uid="{CE202B5C-7A6C-4D3C-ACBF-317BCF428F8B}" name="Dates" dataDxfId="4"/>
    <tableColumn id="3" xr3:uid="{A464990E-8F3F-4F43-A83D-6822D04FB4AE}" name="City / venue" dataDxfId="8"/>
    <tableColumn id="4" xr3:uid="{33821F81-7A95-4B36-A218-A6A69C244FFD}" name="Outcome" dataDxfId="7"/>
    <tableColumn id="5" xr3:uid="{10196253-B8FB-4ACB-8752-56613A08138B}" name="Source + verified on" dataDxfId="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6EB967-8A7E-44A4-B07F-BA43BDC55F4D}" name="ChangeLog" displayName="ChangeLog" ref="A3:B13" totalsRowShown="0" dataDxfId="0">
  <autoFilter ref="A3:B13" xr:uid="{7D6EB967-8A7E-44A4-B07F-BA43BDC55F4D}"/>
  <tableColumns count="2">
    <tableColumn id="1" xr3:uid="{F5627590-1E44-43E8-8894-77381D889AE3}" name="Date" dataDxfId="2"/>
    <tableColumn id="2" xr3:uid="{FC60E3F0-EFCE-4535-9191-5F36C8FD8FA7}" name="Chang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8D5B-7FE8-4C77-9BDE-1D8179FC2E65}">
  <sheetPr>
    <pageSetUpPr fitToPage="1"/>
  </sheetPr>
  <dimension ref="A1:M52"/>
  <sheetViews>
    <sheetView tabSelected="1" workbookViewId="0">
      <pane xSplit="1" ySplit="5" topLeftCell="B6" activePane="bottomRight" state="frozenSplit"/>
      <selection pane="bottomLeft" activeCell="A6" sqref="A6"/>
      <selection pane="topRight" activeCell="B1" sqref="B1"/>
      <selection pane="bottomRight"/>
    </sheetView>
  </sheetViews>
  <sheetFormatPr defaultRowHeight="12.75" x14ac:dyDescent="0.35"/>
  <cols>
    <col min="1" max="1" width="34.59765625" customWidth="1"/>
    <col min="2" max="3" width="12.59765625" customWidth="1"/>
    <col min="4" max="4" width="13.6640625" customWidth="1"/>
    <col min="5" max="5" width="24.59765625" customWidth="1"/>
    <col min="6" max="6" width="22.59765625" customWidth="1"/>
    <col min="7" max="7" width="9.59765625" customWidth="1"/>
    <col min="8" max="8" width="13.59765625" customWidth="1"/>
    <col min="9" max="9" width="30.59765625" customWidth="1"/>
    <col min="10" max="10" width="26.59765625" customWidth="1"/>
    <col min="11" max="12" width="42.59765625" customWidth="1"/>
    <col min="13" max="13" width="38.59765625" customWidth="1"/>
  </cols>
  <sheetData>
    <row r="1" spans="1:13" ht="20.65" x14ac:dyDescent="0.6">
      <c r="A1" s="1" t="s">
        <v>0</v>
      </c>
    </row>
    <row r="2" spans="1:13" x14ac:dyDescent="0.35">
      <c r="A2" s="2" t="s">
        <v>1</v>
      </c>
    </row>
    <row r="3" spans="1:13" ht="40.049999999999997" customHeight="1" x14ac:dyDescent="0.35">
      <c r="A3" s="3" t="s">
        <v>2</v>
      </c>
      <c r="B3" s="3"/>
      <c r="C3" s="3"/>
      <c r="D3" s="3"/>
      <c r="E3" s="3"/>
      <c r="F3" s="3"/>
      <c r="G3" s="3"/>
      <c r="H3" s="3"/>
    </row>
    <row r="5" spans="1:13" ht="30" customHeight="1" x14ac:dyDescent="0.35">
      <c r="A5" s="9" t="s">
        <v>3</v>
      </c>
      <c r="B5" s="10" t="s">
        <v>4</v>
      </c>
      <c r="C5" s="10" t="s">
        <v>5</v>
      </c>
      <c r="D5" s="10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1:13" ht="25.5" x14ac:dyDescent="0.35">
      <c r="A6" s="8" t="s">
        <v>16</v>
      </c>
      <c r="B6" s="6">
        <v>46322</v>
      </c>
      <c r="C6" s="6">
        <v>46324</v>
      </c>
      <c r="D6" s="7">
        <f ca="1">IF(B6="","",B6-TODAY())</f>
        <v>0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23</v>
      </c>
      <c r="L6" s="4" t="s">
        <v>24</v>
      </c>
      <c r="M6" s="4" t="s">
        <v>25</v>
      </c>
    </row>
    <row r="7" spans="1:13" ht="38.25" x14ac:dyDescent="0.35">
      <c r="A7" s="8" t="s">
        <v>26</v>
      </c>
      <c r="B7" s="6">
        <v>46323</v>
      </c>
      <c r="C7" s="6">
        <v>46323</v>
      </c>
      <c r="D7" s="7">
        <f ca="1">IF(B7="","",B7-TODAY())</f>
        <v>1</v>
      </c>
      <c r="E7" s="5">
        <v>46323</v>
      </c>
      <c r="F7" s="4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32</v>
      </c>
      <c r="L7" s="4" t="s">
        <v>33</v>
      </c>
      <c r="M7" s="4" t="s">
        <v>34</v>
      </c>
    </row>
    <row r="8" spans="1:13" ht="25.5" x14ac:dyDescent="0.35">
      <c r="A8" s="8" t="s">
        <v>35</v>
      </c>
      <c r="B8" s="6">
        <v>46323</v>
      </c>
      <c r="C8" s="6">
        <v>46323</v>
      </c>
      <c r="D8" s="7">
        <f ca="1">IF(B8="","",B8-TODAY())</f>
        <v>1</v>
      </c>
      <c r="E8" s="4" t="s">
        <v>36</v>
      </c>
      <c r="F8" s="4" t="s">
        <v>27</v>
      </c>
      <c r="G8" s="4" t="s">
        <v>28</v>
      </c>
      <c r="H8" s="4" t="s">
        <v>29</v>
      </c>
      <c r="I8" s="4" t="s">
        <v>37</v>
      </c>
      <c r="J8" s="4" t="s">
        <v>38</v>
      </c>
      <c r="K8" s="4" t="s">
        <v>39</v>
      </c>
      <c r="L8" s="4" t="s">
        <v>40</v>
      </c>
      <c r="M8" s="4" t="s">
        <v>41</v>
      </c>
    </row>
    <row r="9" spans="1:13" ht="25.5" x14ac:dyDescent="0.35">
      <c r="A9" s="8" t="s">
        <v>42</v>
      </c>
      <c r="B9" s="6">
        <v>46323</v>
      </c>
      <c r="C9" s="6">
        <v>46323</v>
      </c>
      <c r="D9" s="7">
        <f ca="1">IF(B9="","",B9-TODAY())</f>
        <v>1</v>
      </c>
      <c r="E9" s="4" t="s">
        <v>43</v>
      </c>
      <c r="F9" s="4" t="s">
        <v>27</v>
      </c>
      <c r="G9" s="4" t="s">
        <v>28</v>
      </c>
      <c r="H9" s="4" t="s">
        <v>44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</row>
    <row r="10" spans="1:13" ht="51" x14ac:dyDescent="0.35">
      <c r="A10" s="8" t="s">
        <v>50</v>
      </c>
      <c r="B10" s="6">
        <v>46324</v>
      </c>
      <c r="C10" s="6">
        <v>46324</v>
      </c>
      <c r="D10" s="7">
        <f ca="1">IF(B10="","",B10-TODAY())</f>
        <v>2</v>
      </c>
      <c r="E10" s="4" t="s">
        <v>51</v>
      </c>
      <c r="F10" s="4" t="s">
        <v>52</v>
      </c>
      <c r="G10" s="4" t="s">
        <v>28</v>
      </c>
      <c r="H10" s="4" t="s">
        <v>44</v>
      </c>
      <c r="I10" s="4" t="s">
        <v>53</v>
      </c>
      <c r="J10" s="4" t="s">
        <v>54</v>
      </c>
      <c r="K10" s="4" t="s">
        <v>55</v>
      </c>
      <c r="L10" s="4" t="s">
        <v>56</v>
      </c>
      <c r="M10" s="4" t="s">
        <v>57</v>
      </c>
    </row>
    <row r="11" spans="1:13" ht="26.25" x14ac:dyDescent="0.35">
      <c r="A11" s="8" t="s">
        <v>58</v>
      </c>
      <c r="B11" s="6">
        <v>46327</v>
      </c>
      <c r="C11" s="6">
        <v>46356</v>
      </c>
      <c r="D11" s="7">
        <f ca="1">IF(B11="","",B11-TODAY())</f>
        <v>5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65</v>
      </c>
      <c r="L11" s="4" t="s">
        <v>66</v>
      </c>
      <c r="M11" s="4" t="s">
        <v>67</v>
      </c>
    </row>
    <row r="12" spans="1:13" ht="38.25" x14ac:dyDescent="0.35">
      <c r="A12" s="8" t="s">
        <v>68</v>
      </c>
      <c r="B12" s="6">
        <v>46328</v>
      </c>
      <c r="C12" s="6">
        <v>46331</v>
      </c>
      <c r="D12" s="7">
        <f ca="1">IF(B12="","",B12-TODAY())</f>
        <v>6</v>
      </c>
      <c r="E12" s="4" t="s">
        <v>69</v>
      </c>
      <c r="F12" s="4" t="s">
        <v>27</v>
      </c>
      <c r="G12" s="4" t="s">
        <v>19</v>
      </c>
      <c r="H12" s="4" t="s">
        <v>70</v>
      </c>
      <c r="I12" s="4" t="s">
        <v>71</v>
      </c>
      <c r="J12" s="4" t="s">
        <v>72</v>
      </c>
      <c r="K12" s="4" t="s">
        <v>73</v>
      </c>
      <c r="L12" s="4" t="s">
        <v>74</v>
      </c>
      <c r="M12" s="4" t="s">
        <v>75</v>
      </c>
    </row>
    <row r="13" spans="1:13" ht="38.25" x14ac:dyDescent="0.35">
      <c r="A13" s="8" t="s">
        <v>76</v>
      </c>
      <c r="B13" s="6">
        <v>46331</v>
      </c>
      <c r="C13" s="6">
        <v>46334</v>
      </c>
      <c r="D13" s="7">
        <f ca="1">IF(B13="","",B13-TODAY())</f>
        <v>9</v>
      </c>
      <c r="E13" s="4" t="s">
        <v>77</v>
      </c>
      <c r="F13" s="4" t="s">
        <v>78</v>
      </c>
      <c r="G13" s="4" t="s">
        <v>61</v>
      </c>
      <c r="H13" s="4" t="s">
        <v>62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 ht="76.5" x14ac:dyDescent="0.35">
      <c r="A14" s="8" t="s">
        <v>84</v>
      </c>
      <c r="B14" s="6">
        <v>46333</v>
      </c>
      <c r="C14" s="6">
        <v>46336</v>
      </c>
      <c r="D14" s="7">
        <f ca="1">IF(B14="","",B14-TODAY())</f>
        <v>11</v>
      </c>
      <c r="E14" s="4" t="s">
        <v>85</v>
      </c>
      <c r="F14" s="4" t="s">
        <v>27</v>
      </c>
      <c r="G14" s="4" t="s">
        <v>86</v>
      </c>
      <c r="H14" s="4" t="s">
        <v>87</v>
      </c>
      <c r="I14" s="4" t="s">
        <v>88</v>
      </c>
      <c r="J14" s="4" t="s">
        <v>89</v>
      </c>
      <c r="K14" s="4" t="s">
        <v>90</v>
      </c>
      <c r="L14" s="4" t="s">
        <v>91</v>
      </c>
      <c r="M14" s="4" t="s">
        <v>92</v>
      </c>
    </row>
    <row r="15" spans="1:13" ht="51" x14ac:dyDescent="0.35">
      <c r="A15" s="8" t="s">
        <v>93</v>
      </c>
      <c r="B15" s="6">
        <v>46334</v>
      </c>
      <c r="C15" s="6">
        <v>46336</v>
      </c>
      <c r="D15" s="7">
        <f ca="1">IF(B15="","",B15-TODAY())</f>
        <v>12</v>
      </c>
      <c r="E15" s="4" t="s">
        <v>94</v>
      </c>
      <c r="F15" s="4" t="s">
        <v>27</v>
      </c>
      <c r="G15" s="4" t="s">
        <v>19</v>
      </c>
      <c r="H15" s="4" t="s">
        <v>20</v>
      </c>
      <c r="I15" s="4" t="s">
        <v>21</v>
      </c>
      <c r="J15" s="4" t="s">
        <v>95</v>
      </c>
      <c r="K15" s="4" t="s">
        <v>96</v>
      </c>
      <c r="L15" s="4" t="s">
        <v>97</v>
      </c>
      <c r="M15" s="4" t="s">
        <v>98</v>
      </c>
    </row>
    <row r="16" spans="1:13" ht="26.25" x14ac:dyDescent="0.35">
      <c r="A16" s="8" t="s">
        <v>99</v>
      </c>
      <c r="B16" s="6">
        <v>46335</v>
      </c>
      <c r="C16" s="6">
        <v>46353</v>
      </c>
      <c r="D16" s="7">
        <f ca="1">IF(B16="","",B16-TODAY())</f>
        <v>13</v>
      </c>
      <c r="E16" s="4" t="s">
        <v>100</v>
      </c>
      <c r="F16" s="4" t="s">
        <v>60</v>
      </c>
      <c r="G16" s="4" t="s">
        <v>19</v>
      </c>
      <c r="H16" s="4" t="s">
        <v>20</v>
      </c>
      <c r="I16" s="4" t="s">
        <v>21</v>
      </c>
      <c r="J16" s="4" t="s">
        <v>101</v>
      </c>
      <c r="K16" s="4" t="s">
        <v>102</v>
      </c>
      <c r="L16" s="4" t="s">
        <v>103</v>
      </c>
      <c r="M16" s="4" t="s">
        <v>104</v>
      </c>
    </row>
    <row r="17" spans="1:13" ht="25.5" x14ac:dyDescent="0.35">
      <c r="A17" s="8" t="s">
        <v>105</v>
      </c>
      <c r="B17" s="6">
        <v>46335</v>
      </c>
      <c r="C17" s="6">
        <v>46338</v>
      </c>
      <c r="D17" s="7">
        <f ca="1">IF(B17="","",B17-TODAY())</f>
        <v>13</v>
      </c>
      <c r="E17" s="4" t="s">
        <v>106</v>
      </c>
      <c r="F17" s="4" t="s">
        <v>60</v>
      </c>
      <c r="G17" s="4" t="s">
        <v>28</v>
      </c>
      <c r="H17" s="4" t="s">
        <v>107</v>
      </c>
      <c r="I17" s="4" t="s">
        <v>108</v>
      </c>
      <c r="J17" s="4" t="s">
        <v>109</v>
      </c>
      <c r="K17" s="4" t="s">
        <v>110</v>
      </c>
      <c r="L17" s="4" t="s">
        <v>111</v>
      </c>
      <c r="M17" s="4" t="s">
        <v>112</v>
      </c>
    </row>
    <row r="18" spans="1:13" ht="25.5" x14ac:dyDescent="0.35">
      <c r="A18" s="8" t="s">
        <v>113</v>
      </c>
      <c r="B18" s="6">
        <v>46341</v>
      </c>
      <c r="C18" s="6">
        <v>46346</v>
      </c>
      <c r="D18" s="7">
        <f ca="1">IF(B18="","",B18-TODAY())</f>
        <v>19</v>
      </c>
      <c r="E18" s="4" t="s">
        <v>114</v>
      </c>
      <c r="F18" s="4" t="s">
        <v>27</v>
      </c>
      <c r="G18" s="4" t="s">
        <v>28</v>
      </c>
      <c r="H18" s="4" t="s">
        <v>29</v>
      </c>
      <c r="I18" s="4" t="s">
        <v>115</v>
      </c>
      <c r="J18" s="4" t="s">
        <v>116</v>
      </c>
      <c r="K18" s="4" t="s">
        <v>117</v>
      </c>
      <c r="L18" s="4" t="s">
        <v>118</v>
      </c>
      <c r="M18" s="4" t="s">
        <v>119</v>
      </c>
    </row>
    <row r="19" spans="1:13" ht="51" x14ac:dyDescent="0.35">
      <c r="A19" s="8" t="s">
        <v>120</v>
      </c>
      <c r="B19" s="6">
        <v>46342</v>
      </c>
      <c r="C19" s="6">
        <v>46344</v>
      </c>
      <c r="D19" s="7">
        <f ca="1">IF(B19="","",B19-TODAY())</f>
        <v>20</v>
      </c>
      <c r="E19" s="4" t="s">
        <v>121</v>
      </c>
      <c r="F19" s="4" t="s">
        <v>27</v>
      </c>
      <c r="G19" s="4" t="s">
        <v>19</v>
      </c>
      <c r="H19" s="4" t="s">
        <v>70</v>
      </c>
      <c r="I19" s="4" t="s">
        <v>122</v>
      </c>
      <c r="J19" s="4" t="s">
        <v>123</v>
      </c>
      <c r="K19" s="4" t="s">
        <v>124</v>
      </c>
      <c r="L19" s="4" t="s">
        <v>125</v>
      </c>
      <c r="M19" s="4" t="s">
        <v>126</v>
      </c>
    </row>
    <row r="20" spans="1:13" ht="25.5" x14ac:dyDescent="0.35">
      <c r="A20" s="8" t="s">
        <v>127</v>
      </c>
      <c r="B20" s="6">
        <v>46343</v>
      </c>
      <c r="C20" s="6">
        <v>46345</v>
      </c>
      <c r="D20" s="7">
        <f ca="1">IF(B20="","",B20-TODAY())</f>
        <v>21</v>
      </c>
      <c r="E20" s="4" t="s">
        <v>128</v>
      </c>
      <c r="F20" s="4" t="s">
        <v>27</v>
      </c>
      <c r="G20" s="4" t="s">
        <v>86</v>
      </c>
      <c r="H20" s="4" t="s">
        <v>129</v>
      </c>
      <c r="I20" s="4" t="s">
        <v>130</v>
      </c>
      <c r="J20" s="4" t="s">
        <v>131</v>
      </c>
      <c r="K20" s="4" t="s">
        <v>132</v>
      </c>
      <c r="L20" s="4" t="s">
        <v>133</v>
      </c>
      <c r="M20" s="4" t="s">
        <v>134</v>
      </c>
    </row>
    <row r="21" spans="1:13" ht="25.5" x14ac:dyDescent="0.35">
      <c r="A21" s="8" t="s">
        <v>135</v>
      </c>
      <c r="B21" s="6">
        <v>46343</v>
      </c>
      <c r="C21" s="6">
        <v>46344</v>
      </c>
      <c r="D21" s="7">
        <f ca="1">IF(B21="","",B21-TODAY())</f>
        <v>21</v>
      </c>
      <c r="E21" s="4" t="s">
        <v>136</v>
      </c>
      <c r="F21" s="4" t="s">
        <v>27</v>
      </c>
      <c r="G21" s="4" t="s">
        <v>19</v>
      </c>
      <c r="H21" s="4" t="s">
        <v>70</v>
      </c>
      <c r="I21" s="4" t="s">
        <v>137</v>
      </c>
      <c r="J21" s="4" t="s">
        <v>138</v>
      </c>
      <c r="K21" s="4" t="s">
        <v>139</v>
      </c>
      <c r="L21" s="4" t="s">
        <v>140</v>
      </c>
      <c r="M21" s="4" t="s">
        <v>141</v>
      </c>
    </row>
    <row r="22" spans="1:13" ht="25.5" x14ac:dyDescent="0.35">
      <c r="A22" s="8" t="s">
        <v>142</v>
      </c>
      <c r="B22" s="6">
        <v>46343</v>
      </c>
      <c r="C22" s="6">
        <v>46346</v>
      </c>
      <c r="D22" s="7">
        <f ca="1">IF(B22="","",B22-TODAY())</f>
        <v>21</v>
      </c>
      <c r="E22" s="4" t="s">
        <v>143</v>
      </c>
      <c r="F22" s="4" t="s">
        <v>27</v>
      </c>
      <c r="G22" s="4" t="s">
        <v>28</v>
      </c>
      <c r="H22" s="4" t="s">
        <v>29</v>
      </c>
      <c r="I22" s="4" t="s">
        <v>144</v>
      </c>
      <c r="J22" s="4" t="s">
        <v>145</v>
      </c>
      <c r="K22" s="4" t="s">
        <v>146</v>
      </c>
      <c r="L22" s="4" t="s">
        <v>147</v>
      </c>
      <c r="M22" s="4" t="s">
        <v>148</v>
      </c>
    </row>
    <row r="23" spans="1:13" ht="25.5" x14ac:dyDescent="0.35">
      <c r="A23" s="8" t="s">
        <v>149</v>
      </c>
      <c r="B23" s="6">
        <v>46344</v>
      </c>
      <c r="C23" s="6">
        <v>46345</v>
      </c>
      <c r="D23" s="7">
        <f ca="1">IF(B23="","",B23-TODAY())</f>
        <v>22</v>
      </c>
      <c r="E23" s="4" t="s">
        <v>150</v>
      </c>
      <c r="F23" s="4" t="s">
        <v>27</v>
      </c>
      <c r="G23" s="4" t="s">
        <v>19</v>
      </c>
      <c r="H23" s="4" t="s">
        <v>70</v>
      </c>
      <c r="I23" s="4" t="s">
        <v>151</v>
      </c>
      <c r="J23" s="4" t="s">
        <v>138</v>
      </c>
      <c r="K23" s="4" t="s">
        <v>152</v>
      </c>
      <c r="L23" s="4" t="s">
        <v>153</v>
      </c>
      <c r="M23" s="4" t="s">
        <v>154</v>
      </c>
    </row>
    <row r="24" spans="1:13" ht="38.25" x14ac:dyDescent="0.35">
      <c r="A24" s="8" t="s">
        <v>155</v>
      </c>
      <c r="B24" s="6">
        <v>46345</v>
      </c>
      <c r="C24" s="6">
        <v>46345</v>
      </c>
      <c r="D24" s="7">
        <f ca="1">IF(B24="","",B24-TODAY())</f>
        <v>23</v>
      </c>
      <c r="E24" s="4" t="s">
        <v>156</v>
      </c>
      <c r="F24" s="4" t="s">
        <v>27</v>
      </c>
      <c r="G24" s="4" t="s">
        <v>28</v>
      </c>
      <c r="H24" s="4" t="s">
        <v>157</v>
      </c>
      <c r="I24" s="4" t="s">
        <v>158</v>
      </c>
      <c r="J24" s="4" t="s">
        <v>159</v>
      </c>
      <c r="K24" s="4" t="s">
        <v>160</v>
      </c>
      <c r="L24" s="4" t="s">
        <v>161</v>
      </c>
      <c r="M24" s="4" t="s">
        <v>162</v>
      </c>
    </row>
    <row r="25" spans="1:13" ht="38.25" x14ac:dyDescent="0.35">
      <c r="A25" s="8" t="s">
        <v>163</v>
      </c>
      <c r="B25" s="6">
        <v>46350</v>
      </c>
      <c r="C25" s="6">
        <v>46352</v>
      </c>
      <c r="D25" s="7">
        <f ca="1">IF(B25="","",B25-TODAY())</f>
        <v>28</v>
      </c>
      <c r="E25" s="4" t="s">
        <v>164</v>
      </c>
      <c r="F25" s="4" t="s">
        <v>165</v>
      </c>
      <c r="G25" s="4" t="s">
        <v>61</v>
      </c>
      <c r="H25" s="4" t="s">
        <v>62</v>
      </c>
      <c r="I25" s="4" t="s">
        <v>166</v>
      </c>
      <c r="J25" s="4" t="s">
        <v>167</v>
      </c>
      <c r="K25" s="4" t="s">
        <v>168</v>
      </c>
      <c r="L25" s="4" t="s">
        <v>169</v>
      </c>
      <c r="M25" s="4" t="s">
        <v>170</v>
      </c>
    </row>
    <row r="26" spans="1:13" ht="25.5" x14ac:dyDescent="0.35">
      <c r="A26" s="8" t="s">
        <v>171</v>
      </c>
      <c r="B26" s="6">
        <v>46356</v>
      </c>
      <c r="C26" s="6">
        <v>46360</v>
      </c>
      <c r="D26" s="7">
        <f ca="1">IF(B26="","",B26-TODAY())</f>
        <v>34</v>
      </c>
      <c r="E26" s="4" t="s">
        <v>172</v>
      </c>
      <c r="F26" s="4" t="s">
        <v>27</v>
      </c>
      <c r="G26" s="4" t="s">
        <v>28</v>
      </c>
      <c r="H26" s="4" t="s">
        <v>29</v>
      </c>
      <c r="I26" s="4" t="s">
        <v>173</v>
      </c>
      <c r="J26" s="4" t="s">
        <v>174</v>
      </c>
      <c r="K26" s="4" t="s">
        <v>175</v>
      </c>
      <c r="L26" s="4" t="s">
        <v>176</v>
      </c>
      <c r="M26" s="4" t="s">
        <v>177</v>
      </c>
    </row>
    <row r="27" spans="1:13" ht="25.5" x14ac:dyDescent="0.35">
      <c r="A27" s="8" t="s">
        <v>178</v>
      </c>
      <c r="B27" s="6">
        <v>46356</v>
      </c>
      <c r="C27" s="6">
        <v>46359</v>
      </c>
      <c r="D27" s="7">
        <f ca="1">IF(B27="","",B27-TODAY())</f>
        <v>34</v>
      </c>
      <c r="E27" s="4" t="s">
        <v>179</v>
      </c>
      <c r="F27" s="4" t="s">
        <v>27</v>
      </c>
      <c r="G27" s="4" t="s">
        <v>28</v>
      </c>
      <c r="H27" s="4" t="s">
        <v>29</v>
      </c>
      <c r="I27" s="4" t="s">
        <v>180</v>
      </c>
      <c r="J27" s="4" t="s">
        <v>181</v>
      </c>
      <c r="K27" s="4" t="s">
        <v>182</v>
      </c>
      <c r="L27" s="4" t="s">
        <v>183</v>
      </c>
      <c r="M27" s="4" t="s">
        <v>184</v>
      </c>
    </row>
    <row r="28" spans="1:13" ht="63.75" x14ac:dyDescent="0.35">
      <c r="A28" s="8" t="s">
        <v>185</v>
      </c>
      <c r="B28" s="6">
        <v>46357</v>
      </c>
      <c r="C28" s="6">
        <v>46359</v>
      </c>
      <c r="D28" s="7">
        <f ca="1">IF(B28="","",B28-TODAY())</f>
        <v>35</v>
      </c>
      <c r="E28" s="4" t="s">
        <v>186</v>
      </c>
      <c r="F28" s="4" t="s">
        <v>165</v>
      </c>
      <c r="G28" s="4" t="s">
        <v>61</v>
      </c>
      <c r="H28" s="4" t="s">
        <v>62</v>
      </c>
      <c r="I28" s="4" t="s">
        <v>187</v>
      </c>
      <c r="J28" s="4" t="s">
        <v>188</v>
      </c>
      <c r="K28" s="4" t="s">
        <v>189</v>
      </c>
      <c r="L28" s="4" t="s">
        <v>190</v>
      </c>
      <c r="M28" s="4" t="s">
        <v>191</v>
      </c>
    </row>
    <row r="29" spans="1:13" ht="25.5" x14ac:dyDescent="0.35">
      <c r="A29" s="8" t="s">
        <v>192</v>
      </c>
      <c r="B29" s="6">
        <v>46363</v>
      </c>
      <c r="C29" s="6">
        <v>46366</v>
      </c>
      <c r="D29" s="7">
        <f ca="1">IF(B29="","",B29-TODAY())</f>
        <v>41</v>
      </c>
      <c r="E29" s="4" t="s">
        <v>193</v>
      </c>
      <c r="F29" s="4" t="s">
        <v>27</v>
      </c>
      <c r="G29" s="4" t="s">
        <v>19</v>
      </c>
      <c r="H29" s="4" t="s">
        <v>70</v>
      </c>
      <c r="I29" s="4" t="s">
        <v>194</v>
      </c>
      <c r="J29" s="4" t="s">
        <v>195</v>
      </c>
      <c r="K29" s="4" t="s">
        <v>196</v>
      </c>
      <c r="L29" s="4" t="s">
        <v>197</v>
      </c>
      <c r="M29" s="4" t="s">
        <v>198</v>
      </c>
    </row>
    <row r="30" spans="1:13" ht="63.75" x14ac:dyDescent="0.35">
      <c r="A30" s="8" t="s">
        <v>199</v>
      </c>
      <c r="B30" s="6">
        <v>46363</v>
      </c>
      <c r="C30" s="6">
        <v>46367</v>
      </c>
      <c r="D30" s="7">
        <f ca="1">IF(B30="","",B30-TODAY())</f>
        <v>41</v>
      </c>
      <c r="E30" s="4" t="s">
        <v>200</v>
      </c>
      <c r="F30" s="4" t="s">
        <v>201</v>
      </c>
      <c r="G30" s="4" t="s">
        <v>19</v>
      </c>
      <c r="H30" s="4" t="s">
        <v>70</v>
      </c>
      <c r="I30" s="4" t="s">
        <v>202</v>
      </c>
      <c r="J30" s="4" t="s">
        <v>203</v>
      </c>
      <c r="K30" s="4" t="s">
        <v>204</v>
      </c>
      <c r="L30" s="4" t="s">
        <v>205</v>
      </c>
      <c r="M30" s="4" t="s">
        <v>206</v>
      </c>
    </row>
    <row r="31" spans="1:13" ht="25.5" x14ac:dyDescent="0.35">
      <c r="A31" s="8" t="s">
        <v>207</v>
      </c>
      <c r="B31" s="6">
        <v>46364</v>
      </c>
      <c r="C31" s="6">
        <v>46366</v>
      </c>
      <c r="D31" s="7">
        <f ca="1">IF(B31="","",B31-TODAY())</f>
        <v>42</v>
      </c>
      <c r="E31" s="4" t="s">
        <v>208</v>
      </c>
      <c r="F31" s="4" t="s">
        <v>27</v>
      </c>
      <c r="G31" s="4" t="s">
        <v>19</v>
      </c>
      <c r="H31" s="4" t="s">
        <v>70</v>
      </c>
      <c r="I31" s="4" t="s">
        <v>209</v>
      </c>
      <c r="J31" s="4" t="s">
        <v>210</v>
      </c>
      <c r="K31" s="4" t="s">
        <v>211</v>
      </c>
      <c r="L31" s="4" t="s">
        <v>212</v>
      </c>
      <c r="M31" s="4" t="s">
        <v>213</v>
      </c>
    </row>
    <row r="32" spans="1:13" ht="38.25" x14ac:dyDescent="0.35">
      <c r="A32" s="8" t="s">
        <v>214</v>
      </c>
      <c r="B32" s="6">
        <v>46374</v>
      </c>
      <c r="C32" s="6">
        <v>46376</v>
      </c>
      <c r="D32" s="7">
        <f ca="1">IF(B32="","",B32-TODAY())</f>
        <v>52</v>
      </c>
      <c r="E32" s="4" t="s">
        <v>215</v>
      </c>
      <c r="F32" s="4" t="s">
        <v>165</v>
      </c>
      <c r="G32" s="4" t="s">
        <v>61</v>
      </c>
      <c r="H32" s="4" t="s">
        <v>62</v>
      </c>
      <c r="I32" s="4" t="s">
        <v>216</v>
      </c>
      <c r="J32" s="4" t="s">
        <v>217</v>
      </c>
      <c r="K32" s="4" t="s">
        <v>218</v>
      </c>
      <c r="L32" s="4" t="s">
        <v>219</v>
      </c>
      <c r="M32" s="4" t="s">
        <v>67</v>
      </c>
    </row>
    <row r="33" spans="1:13" ht="26.25" x14ac:dyDescent="0.35">
      <c r="A33" s="8" t="s">
        <v>220</v>
      </c>
      <c r="B33" s="6">
        <v>46383</v>
      </c>
      <c r="C33" s="6">
        <v>46386</v>
      </c>
      <c r="D33" s="7">
        <f ca="1">IF(B33="","",B33-TODAY())</f>
        <v>61</v>
      </c>
      <c r="E33" s="4" t="s">
        <v>221</v>
      </c>
      <c r="F33" s="4" t="s">
        <v>222</v>
      </c>
      <c r="G33" s="4" t="s">
        <v>61</v>
      </c>
      <c r="H33" s="4" t="s">
        <v>62</v>
      </c>
      <c r="I33" s="4" t="s">
        <v>223</v>
      </c>
      <c r="J33" s="4" t="s">
        <v>224</v>
      </c>
      <c r="K33" s="4" t="s">
        <v>225</v>
      </c>
      <c r="L33" s="4" t="s">
        <v>226</v>
      </c>
      <c r="M33" s="4" t="s">
        <v>227</v>
      </c>
    </row>
    <row r="34" spans="1:13" ht="38.25" x14ac:dyDescent="0.35">
      <c r="A34" s="8" t="s">
        <v>228</v>
      </c>
      <c r="B34" s="6">
        <v>46393</v>
      </c>
      <c r="C34" s="6">
        <v>46396</v>
      </c>
      <c r="D34" s="7">
        <f ca="1">IF(B34="","",B34-TODAY())</f>
        <v>71</v>
      </c>
      <c r="E34" s="4" t="s">
        <v>229</v>
      </c>
      <c r="F34" s="4" t="s">
        <v>27</v>
      </c>
      <c r="G34" s="4" t="s">
        <v>28</v>
      </c>
      <c r="H34" s="4" t="s">
        <v>29</v>
      </c>
      <c r="I34" s="4" t="s">
        <v>173</v>
      </c>
      <c r="J34" s="4" t="s">
        <v>230</v>
      </c>
      <c r="K34" s="4" t="s">
        <v>231</v>
      </c>
      <c r="L34" s="4" t="s">
        <v>232</v>
      </c>
      <c r="M34" s="4" t="s">
        <v>233</v>
      </c>
    </row>
    <row r="35" spans="1:13" ht="26.25" x14ac:dyDescent="0.35">
      <c r="A35" s="8" t="s">
        <v>234</v>
      </c>
      <c r="B35" s="6">
        <v>46397</v>
      </c>
      <c r="C35" s="6">
        <v>46401</v>
      </c>
      <c r="D35" s="7">
        <f ca="1">IF(B35="","",B35-TODAY())</f>
        <v>75</v>
      </c>
      <c r="E35" s="4" t="s">
        <v>235</v>
      </c>
      <c r="F35" s="4" t="s">
        <v>27</v>
      </c>
      <c r="G35" s="4" t="s">
        <v>19</v>
      </c>
      <c r="H35" s="4" t="s">
        <v>70</v>
      </c>
      <c r="I35" s="4" t="s">
        <v>71</v>
      </c>
      <c r="J35" s="4" t="s">
        <v>236</v>
      </c>
      <c r="K35" s="4" t="s">
        <v>237</v>
      </c>
      <c r="L35" s="4" t="s">
        <v>238</v>
      </c>
      <c r="M35" s="4" t="s">
        <v>239</v>
      </c>
    </row>
    <row r="36" spans="1:13" ht="38.25" x14ac:dyDescent="0.35">
      <c r="A36" s="8" t="s">
        <v>240</v>
      </c>
      <c r="B36" s="6">
        <v>46399</v>
      </c>
      <c r="C36" s="6">
        <v>46401</v>
      </c>
      <c r="D36" s="7">
        <f ca="1">IF(B36="","",B36-TODAY())</f>
        <v>77</v>
      </c>
      <c r="E36" s="4" t="s">
        <v>241</v>
      </c>
      <c r="F36" s="4" t="s">
        <v>60</v>
      </c>
      <c r="G36" s="4" t="s">
        <v>61</v>
      </c>
      <c r="H36" s="4" t="s">
        <v>62</v>
      </c>
      <c r="I36" s="4" t="s">
        <v>242</v>
      </c>
      <c r="J36" s="4" t="s">
        <v>243</v>
      </c>
      <c r="K36" s="4" t="s">
        <v>244</v>
      </c>
      <c r="L36" s="4" t="s">
        <v>245</v>
      </c>
      <c r="M36" s="4" t="s">
        <v>246</v>
      </c>
    </row>
    <row r="37" spans="1:13" ht="25.5" x14ac:dyDescent="0.35">
      <c r="A37" s="8" t="s">
        <v>247</v>
      </c>
      <c r="B37" s="6">
        <v>46418</v>
      </c>
      <c r="C37" s="6">
        <v>46421</v>
      </c>
      <c r="D37" s="7">
        <f ca="1">IF(B37="","",B37-TODAY())</f>
        <v>96</v>
      </c>
      <c r="E37" s="4" t="s">
        <v>248</v>
      </c>
      <c r="F37" s="4" t="s">
        <v>27</v>
      </c>
      <c r="G37" s="4" t="s">
        <v>19</v>
      </c>
      <c r="H37" s="4" t="s">
        <v>20</v>
      </c>
      <c r="I37" s="4" t="s">
        <v>21</v>
      </c>
      <c r="J37" s="4" t="s">
        <v>109</v>
      </c>
      <c r="K37" s="4" t="s">
        <v>249</v>
      </c>
      <c r="L37" s="4" t="s">
        <v>250</v>
      </c>
      <c r="M37" s="4" t="s">
        <v>251</v>
      </c>
    </row>
    <row r="38" spans="1:13" ht="51" x14ac:dyDescent="0.35">
      <c r="A38" s="8" t="s">
        <v>252</v>
      </c>
      <c r="B38" s="6">
        <v>46419</v>
      </c>
      <c r="C38" s="6">
        <v>46422</v>
      </c>
      <c r="D38" s="7">
        <f ca="1">IF(B38="","",B38-TODAY())</f>
        <v>97</v>
      </c>
      <c r="E38" s="4" t="s">
        <v>253</v>
      </c>
      <c r="F38" s="4" t="s">
        <v>254</v>
      </c>
      <c r="G38" s="4" t="s">
        <v>61</v>
      </c>
      <c r="H38" s="4" t="s">
        <v>62</v>
      </c>
      <c r="I38" s="4" t="s">
        <v>187</v>
      </c>
      <c r="J38" s="4" t="s">
        <v>255</v>
      </c>
      <c r="K38" s="4" t="s">
        <v>256</v>
      </c>
      <c r="L38" s="4" t="s">
        <v>257</v>
      </c>
      <c r="M38" s="4" t="s">
        <v>258</v>
      </c>
    </row>
    <row r="39" spans="1:13" ht="38.25" x14ac:dyDescent="0.35">
      <c r="A39" s="8" t="s">
        <v>259</v>
      </c>
      <c r="B39" s="6">
        <v>46474</v>
      </c>
      <c r="C39" s="6"/>
      <c r="D39" s="7">
        <f ca="1">IF(B39="","",B39-TODAY())</f>
        <v>152</v>
      </c>
      <c r="E39" s="4" t="s">
        <v>260</v>
      </c>
      <c r="F39" s="4" t="s">
        <v>222</v>
      </c>
      <c r="G39" s="4" t="s">
        <v>61</v>
      </c>
      <c r="H39" s="4" t="s">
        <v>62</v>
      </c>
      <c r="I39" s="4" t="s">
        <v>223</v>
      </c>
      <c r="J39" s="4" t="s">
        <v>224</v>
      </c>
      <c r="K39" s="4" t="s">
        <v>225</v>
      </c>
      <c r="L39" s="4" t="s">
        <v>226</v>
      </c>
      <c r="M39" s="4" t="s">
        <v>261</v>
      </c>
    </row>
    <row r="40" spans="1:13" ht="25.5" x14ac:dyDescent="0.35">
      <c r="A40" s="8" t="s">
        <v>262</v>
      </c>
      <c r="B40" s="6">
        <v>46489</v>
      </c>
      <c r="C40" s="6">
        <v>46492</v>
      </c>
      <c r="D40" s="7">
        <f ca="1">IF(B40="","",B40-TODAY())</f>
        <v>167</v>
      </c>
      <c r="E40" s="4" t="s">
        <v>263</v>
      </c>
      <c r="F40" s="4" t="s">
        <v>60</v>
      </c>
      <c r="G40" s="4" t="s">
        <v>61</v>
      </c>
      <c r="H40" s="4" t="s">
        <v>62</v>
      </c>
      <c r="I40" s="4" t="s">
        <v>187</v>
      </c>
      <c r="J40" s="4" t="s">
        <v>264</v>
      </c>
      <c r="K40" s="4" t="s">
        <v>265</v>
      </c>
      <c r="L40" s="4" t="s">
        <v>266</v>
      </c>
      <c r="M40" s="4" t="s">
        <v>267</v>
      </c>
    </row>
    <row r="41" spans="1:13" ht="38.25" x14ac:dyDescent="0.35">
      <c r="A41" s="8" t="s">
        <v>268</v>
      </c>
      <c r="B41" s="6">
        <v>46685</v>
      </c>
      <c r="C41" s="6">
        <v>46688</v>
      </c>
      <c r="D41" s="7">
        <f ca="1">IF(B41="","",B41-TODAY())</f>
        <v>363</v>
      </c>
      <c r="E41" s="4" t="s">
        <v>269</v>
      </c>
      <c r="F41" s="4" t="s">
        <v>222</v>
      </c>
      <c r="G41" s="4" t="s">
        <v>61</v>
      </c>
      <c r="H41" s="4" t="s">
        <v>62</v>
      </c>
      <c r="I41" s="4" t="s">
        <v>270</v>
      </c>
      <c r="J41" s="4" t="s">
        <v>271</v>
      </c>
      <c r="K41" s="4" t="s">
        <v>272</v>
      </c>
      <c r="L41" s="4" t="s">
        <v>273</v>
      </c>
      <c r="M41" s="4" t="s">
        <v>274</v>
      </c>
    </row>
    <row r="42" spans="1:13" ht="38.25" x14ac:dyDescent="0.35">
      <c r="A42" s="8" t="s">
        <v>275</v>
      </c>
      <c r="B42" s="6">
        <v>46692</v>
      </c>
      <c r="C42" s="6">
        <v>46695</v>
      </c>
      <c r="D42" s="7">
        <f ca="1">IF(B42="","",B42-TODAY())</f>
        <v>370</v>
      </c>
      <c r="E42" s="4" t="s">
        <v>276</v>
      </c>
      <c r="F42" s="4" t="s">
        <v>222</v>
      </c>
      <c r="G42" s="4" t="s">
        <v>61</v>
      </c>
      <c r="H42" s="4" t="s">
        <v>62</v>
      </c>
      <c r="I42" s="4" t="s">
        <v>277</v>
      </c>
      <c r="J42" s="4" t="s">
        <v>22</v>
      </c>
      <c r="K42" s="4" t="s">
        <v>278</v>
      </c>
      <c r="L42" s="4" t="s">
        <v>279</v>
      </c>
      <c r="M42" s="4" t="s">
        <v>280</v>
      </c>
    </row>
    <row r="43" spans="1:13" ht="25.5" x14ac:dyDescent="0.35">
      <c r="A43" s="8" t="s">
        <v>281</v>
      </c>
      <c r="B43" s="6"/>
      <c r="C43" s="6"/>
      <c r="D43" s="7" t="str">
        <f ca="1">IF(B43="","",B43-TODAY())</f>
        <v/>
      </c>
      <c r="E43" s="4" t="s">
        <v>282</v>
      </c>
      <c r="F43" s="4" t="s">
        <v>222</v>
      </c>
      <c r="G43" s="4" t="s">
        <v>61</v>
      </c>
      <c r="H43" s="4" t="s">
        <v>62</v>
      </c>
      <c r="I43" s="4" t="s">
        <v>223</v>
      </c>
      <c r="J43" s="4" t="s">
        <v>283</v>
      </c>
      <c r="K43" s="4" t="s">
        <v>284</v>
      </c>
      <c r="L43" s="4" t="s">
        <v>285</v>
      </c>
      <c r="M43" s="4" t="s">
        <v>286</v>
      </c>
    </row>
    <row r="44" spans="1:13" ht="38.25" x14ac:dyDescent="0.35">
      <c r="A44" s="8" t="s">
        <v>287</v>
      </c>
      <c r="B44" s="6"/>
      <c r="C44" s="6"/>
      <c r="D44" s="7" t="str">
        <f ca="1">IF(B44="","",B44-TODAY())</f>
        <v/>
      </c>
      <c r="E44" s="4" t="s">
        <v>288</v>
      </c>
      <c r="F44" s="4" t="s">
        <v>222</v>
      </c>
      <c r="G44" s="4" t="s">
        <v>61</v>
      </c>
      <c r="H44" s="4" t="s">
        <v>62</v>
      </c>
      <c r="I44" s="4" t="s">
        <v>223</v>
      </c>
      <c r="J44" s="4" t="s">
        <v>289</v>
      </c>
      <c r="K44" s="4" t="s">
        <v>290</v>
      </c>
      <c r="L44" s="4" t="s">
        <v>291</v>
      </c>
      <c r="M44" s="4" t="s">
        <v>292</v>
      </c>
    </row>
    <row r="45" spans="1:13" ht="38.25" x14ac:dyDescent="0.35">
      <c r="A45" s="8" t="s">
        <v>293</v>
      </c>
      <c r="B45" s="6"/>
      <c r="C45" s="6"/>
      <c r="D45" s="7" t="str">
        <f ca="1">IF(B45="","",B45-TODAY())</f>
        <v/>
      </c>
      <c r="E45" s="4" t="s">
        <v>294</v>
      </c>
      <c r="F45" s="4" t="s">
        <v>222</v>
      </c>
      <c r="G45" s="4" t="s">
        <v>61</v>
      </c>
      <c r="H45" s="4" t="s">
        <v>62</v>
      </c>
      <c r="I45" s="4" t="s">
        <v>295</v>
      </c>
      <c r="J45" s="4" t="s">
        <v>296</v>
      </c>
      <c r="K45" s="4" t="s">
        <v>225</v>
      </c>
      <c r="L45" s="4" t="s">
        <v>226</v>
      </c>
      <c r="M45" s="4" t="s">
        <v>297</v>
      </c>
    </row>
    <row r="46" spans="1:13" ht="38.25" x14ac:dyDescent="0.35">
      <c r="A46" s="8" t="s">
        <v>298</v>
      </c>
      <c r="B46" s="6"/>
      <c r="C46" s="6"/>
      <c r="D46" s="7" t="str">
        <f ca="1">IF(B46="","",B46-TODAY())</f>
        <v/>
      </c>
      <c r="E46" s="4" t="s">
        <v>299</v>
      </c>
      <c r="F46" s="4" t="s">
        <v>222</v>
      </c>
      <c r="G46" s="4" t="s">
        <v>61</v>
      </c>
      <c r="H46" s="4" t="s">
        <v>62</v>
      </c>
      <c r="I46" s="4" t="s">
        <v>300</v>
      </c>
      <c r="J46" s="4" t="s">
        <v>301</v>
      </c>
      <c r="K46" s="4" t="s">
        <v>302</v>
      </c>
      <c r="L46" s="4" t="s">
        <v>303</v>
      </c>
      <c r="M46" s="4" t="s">
        <v>304</v>
      </c>
    </row>
    <row r="47" spans="1:13" ht="38.25" x14ac:dyDescent="0.35">
      <c r="A47" s="8" t="s">
        <v>305</v>
      </c>
      <c r="B47" s="6"/>
      <c r="C47" s="6"/>
      <c r="D47" s="7" t="str">
        <f ca="1">IF(B47="","",B47-TODAY())</f>
        <v/>
      </c>
      <c r="E47" s="4" t="s">
        <v>306</v>
      </c>
      <c r="F47" s="4" t="s">
        <v>222</v>
      </c>
      <c r="G47" s="4" t="s">
        <v>61</v>
      </c>
      <c r="H47" s="4" t="s">
        <v>62</v>
      </c>
      <c r="I47" s="4" t="s">
        <v>307</v>
      </c>
      <c r="J47" s="4" t="s">
        <v>308</v>
      </c>
      <c r="K47" s="4" t="s">
        <v>309</v>
      </c>
      <c r="L47" s="4" t="s">
        <v>310</v>
      </c>
      <c r="M47" s="4" t="s">
        <v>311</v>
      </c>
    </row>
    <row r="48" spans="1:13" ht="38.25" x14ac:dyDescent="0.35">
      <c r="A48" s="8" t="s">
        <v>312</v>
      </c>
      <c r="B48" s="6"/>
      <c r="C48" s="6"/>
      <c r="D48" s="7" t="str">
        <f ca="1">IF(B48="","",B48-TODAY())</f>
        <v/>
      </c>
      <c r="E48" s="4" t="s">
        <v>313</v>
      </c>
      <c r="F48" s="4" t="s">
        <v>314</v>
      </c>
      <c r="G48" s="4" t="s">
        <v>86</v>
      </c>
      <c r="H48" s="4" t="s">
        <v>315</v>
      </c>
      <c r="I48" s="4" t="s">
        <v>316</v>
      </c>
      <c r="J48" s="4" t="s">
        <v>317</v>
      </c>
      <c r="K48" s="4" t="s">
        <v>318</v>
      </c>
      <c r="L48" s="4" t="s">
        <v>319</v>
      </c>
      <c r="M48" s="4" t="s">
        <v>320</v>
      </c>
    </row>
    <row r="49" spans="1:13" ht="25.5" x14ac:dyDescent="0.35">
      <c r="A49" s="8" t="s">
        <v>321</v>
      </c>
      <c r="B49" s="6"/>
      <c r="C49" s="6"/>
      <c r="D49" s="7" t="str">
        <f ca="1">IF(B49="","",B49-TODAY())</f>
        <v/>
      </c>
      <c r="E49" s="4" t="s">
        <v>322</v>
      </c>
      <c r="F49" s="4" t="s">
        <v>222</v>
      </c>
      <c r="G49" s="4" t="s">
        <v>61</v>
      </c>
      <c r="H49" s="4" t="s">
        <v>62</v>
      </c>
      <c r="I49" s="4" t="s">
        <v>223</v>
      </c>
      <c r="J49" s="4" t="s">
        <v>323</v>
      </c>
      <c r="K49" s="4" t="s">
        <v>324</v>
      </c>
      <c r="L49" s="4" t="s">
        <v>325</v>
      </c>
      <c r="M49" s="4" t="s">
        <v>326</v>
      </c>
    </row>
    <row r="50" spans="1:13" ht="25.5" x14ac:dyDescent="0.35">
      <c r="A50" s="8" t="s">
        <v>327</v>
      </c>
      <c r="B50" s="6"/>
      <c r="C50" s="6"/>
      <c r="D50" s="7" t="str">
        <f ca="1">IF(B50="","",B50-TODAY())</f>
        <v/>
      </c>
      <c r="E50" s="4" t="s">
        <v>328</v>
      </c>
      <c r="F50" s="4" t="s">
        <v>314</v>
      </c>
      <c r="G50" s="4" t="s">
        <v>61</v>
      </c>
      <c r="H50" s="4" t="s">
        <v>62</v>
      </c>
      <c r="I50" s="4" t="s">
        <v>223</v>
      </c>
      <c r="J50" s="4" t="s">
        <v>329</v>
      </c>
      <c r="K50" s="4" t="s">
        <v>225</v>
      </c>
      <c r="L50" s="4" t="s">
        <v>285</v>
      </c>
      <c r="M50" s="4" t="s">
        <v>330</v>
      </c>
    </row>
    <row r="51" spans="1:13" ht="25.5" x14ac:dyDescent="0.35">
      <c r="A51" s="8" t="s">
        <v>331</v>
      </c>
      <c r="B51" s="6"/>
      <c r="C51" s="6"/>
      <c r="D51" s="7" t="str">
        <f ca="1">IF(B51="","",B51-TODAY())</f>
        <v/>
      </c>
      <c r="E51" s="4" t="s">
        <v>332</v>
      </c>
      <c r="F51" s="4" t="s">
        <v>222</v>
      </c>
      <c r="G51" s="4" t="s">
        <v>61</v>
      </c>
      <c r="H51" s="4" t="s">
        <v>62</v>
      </c>
      <c r="I51" s="4" t="s">
        <v>223</v>
      </c>
      <c r="J51" s="4" t="s">
        <v>333</v>
      </c>
      <c r="K51" s="4" t="s">
        <v>334</v>
      </c>
      <c r="L51" s="4" t="s">
        <v>24</v>
      </c>
      <c r="M51" s="4" t="s">
        <v>335</v>
      </c>
    </row>
    <row r="52" spans="1:13" ht="38.25" x14ac:dyDescent="0.35">
      <c r="A52" s="8" t="s">
        <v>336</v>
      </c>
      <c r="B52" s="6"/>
      <c r="C52" s="6"/>
      <c r="D52" s="7" t="str">
        <f ca="1">IF(B52="","",B52-TODAY())</f>
        <v/>
      </c>
      <c r="E52" s="4" t="s">
        <v>337</v>
      </c>
      <c r="F52" s="4" t="s">
        <v>222</v>
      </c>
      <c r="G52" s="4" t="s">
        <v>61</v>
      </c>
      <c r="H52" s="4" t="s">
        <v>62</v>
      </c>
      <c r="I52" s="4" t="s">
        <v>338</v>
      </c>
      <c r="J52" s="4" t="s">
        <v>339</v>
      </c>
      <c r="K52" s="4" t="s">
        <v>340</v>
      </c>
      <c r="L52" s="4" t="s">
        <v>341</v>
      </c>
      <c r="M52" s="4" t="s">
        <v>342</v>
      </c>
    </row>
  </sheetData>
  <mergeCells count="1">
    <mergeCell ref="A3:H3"/>
  </mergeCells>
  <conditionalFormatting sqref="F6:F52">
    <cfRule type="expression" dxfId="13" priority="1" stopIfTrue="1">
      <formula>ISNUMBER(SEARCH("Postponed",$F6))</formula>
    </cfRule>
    <cfRule type="expression" dxfId="12" priority="2" stopIfTrue="1">
      <formula>OR(ISNUMBER(SEARCH("risk",$F6)),ISNUMBER(SEARCH("watch",$F6)))</formula>
    </cfRule>
    <cfRule type="expression" dxfId="11" priority="3" stopIfTrue="1">
      <formula>ISNUMBER(SEARCH("unconfirmed",$F6))</formula>
    </cfRule>
    <cfRule type="expression" dxfId="10" priority="4" stopIfTrue="1">
      <formula>AND(ISNUMBER(SEARCH("Upcoming",$F6)),ISERROR(SEARCH("risk",$F6)),ISERROR(SEARCH("watch",$F6)))</formula>
    </cfRule>
  </conditionalFormatting>
  <conditionalFormatting sqref="D6:D52">
    <cfRule type="expression" dxfId="9" priority="5" stopIfTrue="1">
      <formula>AND(ISNUMBER($D6),$D6&gt;=0,$D6&lt;=7)</formula>
    </cfRule>
  </conditionalFormatting>
  <pageMargins left="0.7" right="0.7" top="0.75" bottom="0.75" header="0.3" footer="0.3"/>
  <pageSetup scale="38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7FCB-4CDA-45FA-9137-14A3250397CA}">
  <dimension ref="A1:C26"/>
  <sheetViews>
    <sheetView showGridLines="0" workbookViewId="0"/>
  </sheetViews>
  <sheetFormatPr defaultRowHeight="12.75" x14ac:dyDescent="0.35"/>
  <cols>
    <col min="1" max="1" width="34.59765625" customWidth="1"/>
    <col min="2" max="2" width="14.59765625" customWidth="1"/>
    <col min="3" max="3" width="70.59765625" customWidth="1"/>
  </cols>
  <sheetData>
    <row r="1" spans="1:3" ht="17.649999999999999" x14ac:dyDescent="0.5">
      <c r="A1" s="13" t="s">
        <v>428</v>
      </c>
    </row>
    <row r="3" spans="1:3" ht="13.15" x14ac:dyDescent="0.4">
      <c r="A3" s="16" t="s">
        <v>429</v>
      </c>
      <c r="B3" s="16" t="s">
        <v>430</v>
      </c>
    </row>
    <row r="4" spans="1:3" x14ac:dyDescent="0.35">
      <c r="A4" s="17" t="s">
        <v>431</v>
      </c>
      <c r="B4" s="18">
        <f>COUNTA(Calendar!$A$6:$A$52)</f>
        <v>47</v>
      </c>
    </row>
    <row r="5" spans="1:3" x14ac:dyDescent="0.35">
      <c r="A5" s="17" t="s">
        <v>432</v>
      </c>
      <c r="B5" s="18">
        <f ca="1">COUNTIFS(Calendar!$D$6:$D$52,"&gt;=0",Calendar!$D$6:$D$52,"&lt;=7")</f>
        <v>7</v>
      </c>
    </row>
    <row r="6" spans="1:3" x14ac:dyDescent="0.35">
      <c r="A6" s="17" t="s">
        <v>433</v>
      </c>
      <c r="B6" s="18">
        <f ca="1">COUNTIFS(Calendar!$D$6:$D$52,"&gt;=0",Calendar!$D$6:$D$52,"&lt;=30")</f>
        <v>20</v>
      </c>
    </row>
    <row r="7" spans="1:3" x14ac:dyDescent="0.35">
      <c r="A7" s="17" t="s">
        <v>434</v>
      </c>
      <c r="B7" s="18">
        <f>COUNTIF(Calendar!$F$6:$F$52,"*risk*")+COUNTIF(Calendar!$F$6:$F$52,"*watch*")</f>
        <v>14</v>
      </c>
    </row>
    <row r="8" spans="1:3" x14ac:dyDescent="0.35">
      <c r="A8" s="17" t="s">
        <v>222</v>
      </c>
      <c r="B8" s="18">
        <f>COUNTIF(Calendar!$F$6:$F$52,"*Postponed*")</f>
        <v>15</v>
      </c>
    </row>
    <row r="9" spans="1:3" x14ac:dyDescent="0.35">
      <c r="A9" s="17" t="s">
        <v>435</v>
      </c>
      <c r="B9" s="18">
        <f>COUNTIF(Calendar!$F$6:$F$52,"*unconfirmed*")</f>
        <v>1</v>
      </c>
    </row>
    <row r="10" spans="1:3" x14ac:dyDescent="0.35">
      <c r="A10" s="17" t="s">
        <v>436</v>
      </c>
      <c r="B10" s="18">
        <f>COUNTIF(Calendar!$G$6:$G$52,"KSA")</f>
        <v>21</v>
      </c>
    </row>
    <row r="11" spans="1:3" x14ac:dyDescent="0.35">
      <c r="A11" s="17" t="s">
        <v>437</v>
      </c>
      <c r="B11" s="18">
        <f>COUNTIF(Calendar!$G$6:$G$52,"GCC")</f>
        <v>12</v>
      </c>
    </row>
    <row r="12" spans="1:3" x14ac:dyDescent="0.35">
      <c r="A12" s="17" t="s">
        <v>438</v>
      </c>
      <c r="B12" s="18">
        <f>COUNTIF(Calendar!$G$6:$G$52,"MEA")</f>
        <v>3</v>
      </c>
    </row>
    <row r="13" spans="1:3" x14ac:dyDescent="0.35">
      <c r="A13" s="19" t="s">
        <v>439</v>
      </c>
      <c r="B13" s="20">
        <f>COUNTIF(Calendar!$G$6:$G$52,"Global")</f>
        <v>11</v>
      </c>
    </row>
    <row r="15" spans="1:3" ht="13.15" x14ac:dyDescent="0.4">
      <c r="A15" s="15" t="s">
        <v>440</v>
      </c>
    </row>
    <row r="16" spans="1:3" ht="13.15" x14ac:dyDescent="0.4">
      <c r="A16" s="12" t="s">
        <v>27</v>
      </c>
      <c r="C16" t="s">
        <v>441</v>
      </c>
    </row>
    <row r="17" spans="1:3" ht="13.15" x14ac:dyDescent="0.4">
      <c r="A17" s="11" t="s">
        <v>442</v>
      </c>
      <c r="C17" t="s">
        <v>443</v>
      </c>
    </row>
    <row r="18" spans="1:3" ht="13.15" x14ac:dyDescent="0.4">
      <c r="A18" s="21" t="s">
        <v>222</v>
      </c>
      <c r="C18" t="s">
        <v>444</v>
      </c>
    </row>
    <row r="19" spans="1:3" ht="13.15" x14ac:dyDescent="0.4">
      <c r="A19" s="22" t="s">
        <v>435</v>
      </c>
      <c r="C19" t="s">
        <v>445</v>
      </c>
    </row>
    <row r="20" spans="1:3" ht="13.15" x14ac:dyDescent="0.4">
      <c r="A20" s="21" t="s">
        <v>446</v>
      </c>
      <c r="C20" t="s">
        <v>447</v>
      </c>
    </row>
    <row r="22" spans="1:3" ht="13.15" x14ac:dyDescent="0.4">
      <c r="A22" s="15" t="s">
        <v>448</v>
      </c>
    </row>
    <row r="23" spans="1:3" ht="27" customHeight="1" x14ac:dyDescent="0.35">
      <c r="A23" s="23" t="s">
        <v>449</v>
      </c>
      <c r="B23" s="23"/>
      <c r="C23" s="23"/>
    </row>
    <row r="24" spans="1:3" ht="27" customHeight="1" x14ac:dyDescent="0.35">
      <c r="A24" s="23" t="s">
        <v>450</v>
      </c>
      <c r="B24" s="23"/>
      <c r="C24" s="23"/>
    </row>
    <row r="25" spans="1:3" ht="27" customHeight="1" x14ac:dyDescent="0.35">
      <c r="A25" s="23" t="s">
        <v>451</v>
      </c>
      <c r="B25" s="23"/>
      <c r="C25" s="23"/>
    </row>
    <row r="26" spans="1:3" ht="27" customHeight="1" x14ac:dyDescent="0.35">
      <c r="A26" s="23" t="s">
        <v>452</v>
      </c>
      <c r="B26" s="23"/>
      <c r="C26" s="23"/>
    </row>
  </sheetData>
  <mergeCells count="4">
    <mergeCell ref="A23:C23"/>
    <mergeCell ref="A24:C24"/>
    <mergeCell ref="A25:C25"/>
    <mergeCell ref="A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1CA6-3AF6-43E2-8072-45585E5F712F}">
  <dimension ref="A1:E19"/>
  <sheetViews>
    <sheetView showGridLines="0" workbookViewId="0"/>
  </sheetViews>
  <sheetFormatPr defaultRowHeight="12.75" x14ac:dyDescent="0.35"/>
  <cols>
    <col min="1" max="1" width="36.59765625" customWidth="1"/>
    <col min="2" max="2" width="24.59765625" customWidth="1"/>
    <col min="3" max="3" width="28.59765625" customWidth="1"/>
    <col min="4" max="4" width="60.59765625" customWidth="1"/>
    <col min="5" max="5" width="40.59765625" customWidth="1"/>
  </cols>
  <sheetData>
    <row r="1" spans="1:5" ht="17.649999999999999" x14ac:dyDescent="0.5">
      <c r="A1" s="13" t="s">
        <v>343</v>
      </c>
    </row>
    <row r="3" spans="1:5" x14ac:dyDescent="0.35">
      <c r="A3" t="s">
        <v>3</v>
      </c>
      <c r="B3" t="s">
        <v>344</v>
      </c>
      <c r="C3" t="s">
        <v>11</v>
      </c>
      <c r="D3" t="s">
        <v>345</v>
      </c>
      <c r="E3" t="s">
        <v>15</v>
      </c>
    </row>
    <row r="4" spans="1:5" ht="38.25" x14ac:dyDescent="0.35">
      <c r="A4" s="8" t="s">
        <v>346</v>
      </c>
      <c r="B4" s="4" t="s">
        <v>347</v>
      </c>
      <c r="C4" s="4" t="s">
        <v>348</v>
      </c>
      <c r="D4" s="4" t="s">
        <v>349</v>
      </c>
      <c r="E4" s="4" t="s">
        <v>350</v>
      </c>
    </row>
    <row r="5" spans="1:5" ht="63.75" x14ac:dyDescent="0.35">
      <c r="A5" s="8" t="s">
        <v>351</v>
      </c>
      <c r="B5" s="4" t="s">
        <v>352</v>
      </c>
      <c r="C5" s="4" t="s">
        <v>122</v>
      </c>
      <c r="D5" s="4" t="s">
        <v>353</v>
      </c>
      <c r="E5" s="4" t="s">
        <v>354</v>
      </c>
    </row>
    <row r="6" spans="1:5" ht="38.25" x14ac:dyDescent="0.35">
      <c r="A6" s="8" t="s">
        <v>355</v>
      </c>
      <c r="B6" s="4" t="s">
        <v>356</v>
      </c>
      <c r="C6" s="4" t="s">
        <v>357</v>
      </c>
      <c r="D6" s="4" t="s">
        <v>358</v>
      </c>
      <c r="E6" s="4" t="s">
        <v>359</v>
      </c>
    </row>
    <row r="7" spans="1:5" ht="63.75" x14ac:dyDescent="0.35">
      <c r="A7" s="8" t="s">
        <v>360</v>
      </c>
      <c r="B7" s="4" t="s">
        <v>361</v>
      </c>
      <c r="C7" s="4" t="s">
        <v>21</v>
      </c>
      <c r="D7" s="4" t="s">
        <v>362</v>
      </c>
      <c r="E7" s="4" t="s">
        <v>363</v>
      </c>
    </row>
    <row r="8" spans="1:5" ht="38.25" x14ac:dyDescent="0.35">
      <c r="A8" s="8" t="s">
        <v>364</v>
      </c>
      <c r="B8" s="4" t="s">
        <v>361</v>
      </c>
      <c r="C8" s="4" t="s">
        <v>122</v>
      </c>
      <c r="D8" s="4" t="s">
        <v>365</v>
      </c>
      <c r="E8" s="4" t="s">
        <v>366</v>
      </c>
    </row>
    <row r="9" spans="1:5" ht="38.25" x14ac:dyDescent="0.35">
      <c r="A9" s="8" t="s">
        <v>367</v>
      </c>
      <c r="B9" s="5">
        <v>46316</v>
      </c>
      <c r="C9" s="4" t="s">
        <v>368</v>
      </c>
      <c r="D9" s="4" t="s">
        <v>369</v>
      </c>
      <c r="E9" s="4" t="s">
        <v>370</v>
      </c>
    </row>
    <row r="10" spans="1:5" ht="25.5" x14ac:dyDescent="0.35">
      <c r="A10" s="8" t="s">
        <v>371</v>
      </c>
      <c r="B10" s="4" t="s">
        <v>372</v>
      </c>
      <c r="C10" s="4" t="s">
        <v>373</v>
      </c>
      <c r="D10" s="4" t="s">
        <v>374</v>
      </c>
      <c r="E10" s="4" t="s">
        <v>375</v>
      </c>
    </row>
    <row r="11" spans="1:5" ht="25.5" x14ac:dyDescent="0.35">
      <c r="A11" s="8" t="s">
        <v>376</v>
      </c>
      <c r="B11" s="5">
        <v>46306</v>
      </c>
      <c r="C11" s="4" t="s">
        <v>223</v>
      </c>
      <c r="D11" s="4" t="s">
        <v>377</v>
      </c>
      <c r="E11" s="4" t="s">
        <v>378</v>
      </c>
    </row>
    <row r="12" spans="1:5" ht="25.5" x14ac:dyDescent="0.35">
      <c r="A12" s="8" t="s">
        <v>379</v>
      </c>
      <c r="B12" s="4" t="s">
        <v>380</v>
      </c>
      <c r="C12" s="4" t="s">
        <v>381</v>
      </c>
      <c r="D12" s="4" t="s">
        <v>382</v>
      </c>
      <c r="E12" s="4" t="s">
        <v>383</v>
      </c>
    </row>
    <row r="13" spans="1:5" ht="25.5" x14ac:dyDescent="0.35">
      <c r="A13" s="8" t="s">
        <v>384</v>
      </c>
      <c r="B13" s="4" t="s">
        <v>385</v>
      </c>
      <c r="C13" s="4" t="s">
        <v>386</v>
      </c>
      <c r="D13" s="4" t="s">
        <v>387</v>
      </c>
      <c r="E13" s="4" t="s">
        <v>388</v>
      </c>
    </row>
    <row r="14" spans="1:5" ht="38.25" x14ac:dyDescent="0.35">
      <c r="A14" s="8" t="s">
        <v>389</v>
      </c>
      <c r="B14" s="5">
        <v>46313</v>
      </c>
      <c r="C14" s="4" t="s">
        <v>390</v>
      </c>
      <c r="D14" s="4" t="s">
        <v>391</v>
      </c>
      <c r="E14" s="4" t="s">
        <v>392</v>
      </c>
    </row>
    <row r="15" spans="1:5" ht="38.25" x14ac:dyDescent="0.35">
      <c r="A15" s="8" t="s">
        <v>393</v>
      </c>
      <c r="B15" s="4" t="s">
        <v>394</v>
      </c>
      <c r="C15" s="4" t="s">
        <v>395</v>
      </c>
      <c r="D15" s="4" t="s">
        <v>396</v>
      </c>
      <c r="E15" s="4" t="s">
        <v>397</v>
      </c>
    </row>
    <row r="16" spans="1:5" ht="38.25" x14ac:dyDescent="0.35">
      <c r="A16" s="8" t="s">
        <v>398</v>
      </c>
      <c r="B16" s="5">
        <v>46315</v>
      </c>
      <c r="C16" s="4" t="s">
        <v>399</v>
      </c>
      <c r="D16" s="4" t="s">
        <v>400</v>
      </c>
      <c r="E16" s="4" t="s">
        <v>401</v>
      </c>
    </row>
    <row r="17" spans="1:5" ht="25.5" x14ac:dyDescent="0.35">
      <c r="A17" s="8" t="s">
        <v>402</v>
      </c>
      <c r="B17" s="4" t="s">
        <v>403</v>
      </c>
      <c r="C17" s="4" t="s">
        <v>223</v>
      </c>
      <c r="D17" s="4" t="s">
        <v>404</v>
      </c>
      <c r="E17" s="4" t="s">
        <v>405</v>
      </c>
    </row>
    <row r="18" spans="1:5" ht="26.25" x14ac:dyDescent="0.35">
      <c r="A18" s="8" t="s">
        <v>406</v>
      </c>
      <c r="B18" s="4" t="s">
        <v>407</v>
      </c>
      <c r="C18" s="4" t="s">
        <v>408</v>
      </c>
      <c r="D18" s="4" t="s">
        <v>409</v>
      </c>
      <c r="E18" s="4" t="s">
        <v>410</v>
      </c>
    </row>
    <row r="19" spans="1:5" ht="25.5" x14ac:dyDescent="0.35">
      <c r="A19" s="8" t="s">
        <v>411</v>
      </c>
      <c r="B19" s="4" t="s">
        <v>412</v>
      </c>
      <c r="C19" s="4" t="s">
        <v>316</v>
      </c>
      <c r="D19" s="4" t="s">
        <v>413</v>
      </c>
      <c r="E19" s="4" t="s">
        <v>414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2C85-E832-4FAD-9FD1-E043508D87F0}">
  <dimension ref="A1:B14"/>
  <sheetViews>
    <sheetView showGridLines="0" workbookViewId="0"/>
  </sheetViews>
  <sheetFormatPr defaultRowHeight="12.75" x14ac:dyDescent="0.35"/>
  <cols>
    <col min="1" max="1" width="13.59765625" customWidth="1"/>
    <col min="2" max="2" width="110.59765625" customWidth="1"/>
  </cols>
  <sheetData>
    <row r="1" spans="1:2" ht="17.649999999999999" x14ac:dyDescent="0.5">
      <c r="A1" s="13" t="s">
        <v>415</v>
      </c>
    </row>
    <row r="3" spans="1:2" x14ac:dyDescent="0.35">
      <c r="A3" t="s">
        <v>416</v>
      </c>
      <c r="B3" t="s">
        <v>417</v>
      </c>
    </row>
    <row r="4" spans="1:2" ht="25.5" x14ac:dyDescent="0.35">
      <c r="A4" s="14">
        <v>46313</v>
      </c>
      <c r="B4" s="4" t="s">
        <v>418</v>
      </c>
    </row>
    <row r="5" spans="1:2" ht="25.5" x14ac:dyDescent="0.35">
      <c r="A5" s="14">
        <v>46313</v>
      </c>
      <c r="B5" s="4" t="s">
        <v>419</v>
      </c>
    </row>
    <row r="6" spans="1:2" ht="63.75" x14ac:dyDescent="0.35">
      <c r="A6" s="14">
        <v>46314</v>
      </c>
      <c r="B6" s="4" t="s">
        <v>420</v>
      </c>
    </row>
    <row r="7" spans="1:2" ht="51" x14ac:dyDescent="0.35">
      <c r="A7" s="14">
        <v>46315</v>
      </c>
      <c r="B7" s="4" t="s">
        <v>421</v>
      </c>
    </row>
    <row r="8" spans="1:2" ht="63.75" x14ac:dyDescent="0.35">
      <c r="A8" s="14">
        <v>46316</v>
      </c>
      <c r="B8" s="4" t="s">
        <v>422</v>
      </c>
    </row>
    <row r="9" spans="1:2" ht="63.75" x14ac:dyDescent="0.35">
      <c r="A9" s="14">
        <v>46317</v>
      </c>
      <c r="B9" s="4" t="s">
        <v>423</v>
      </c>
    </row>
    <row r="10" spans="1:2" ht="63.75" x14ac:dyDescent="0.35">
      <c r="A10" s="14">
        <v>46319</v>
      </c>
      <c r="B10" s="4" t="s">
        <v>424</v>
      </c>
    </row>
    <row r="11" spans="1:2" ht="63.75" x14ac:dyDescent="0.35">
      <c r="A11" s="14">
        <v>46320</v>
      </c>
      <c r="B11" s="4" t="s">
        <v>425</v>
      </c>
    </row>
    <row r="12" spans="1:2" ht="63.75" x14ac:dyDescent="0.35">
      <c r="A12" s="14">
        <v>46321</v>
      </c>
      <c r="B12" s="4" t="s">
        <v>426</v>
      </c>
    </row>
    <row r="13" spans="1:2" ht="63.75" x14ac:dyDescent="0.35">
      <c r="A13" s="14">
        <v>46322</v>
      </c>
      <c r="B13" s="4" t="s">
        <v>427</v>
      </c>
    </row>
    <row r="14" spans="1:2" x14ac:dyDescent="0.35">
      <c r="A14" s="14"/>
      <c r="B1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Calendar</vt:lpstr>
      <vt:lpstr>Overview</vt:lpstr>
      <vt:lpstr>Concluded</vt:lpstr>
      <vt:lpstr>Change log</vt:lpstr>
      <vt:lpstr>Calendar!Print_Titles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Alshalhoub</dc:creator>
  <cp:lastModifiedBy>Mohammed Alshalhoub</cp:lastModifiedBy>
  <dcterms:created xsi:type="dcterms:W3CDTF">2026-10-27T14:02:23Z</dcterms:created>
  <dcterms:modified xsi:type="dcterms:W3CDTF">2026-10-27T14:02:33Z</dcterms:modified>
</cp:coreProperties>
</file>